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icolaguapa-my.sharepoint.com/personal/sindy_urrutia_guapa_com_co/Documents/ANALISTA_OM/09_MAQUINARIA/APPS_SETUP2/"/>
    </mc:Choice>
  </mc:AlternateContent>
  <xr:revisionPtr revIDLastSave="27" documentId="8_{DC324095-6F5E-4AC5-8F6A-65D165DF0C41}" xr6:coauthVersionLast="47" xr6:coauthVersionMax="47" xr10:uidLastSave="{4C3933C2-DE2F-4330-BD8B-3BBE4C4F2809}"/>
  <bookViews>
    <workbookView xWindow="-110" yWindow="-110" windowWidth="19420" windowHeight="11500" xr2:uid="{61B8711F-EFD4-4991-AA04-720E6A32B920}"/>
  </bookViews>
  <sheets>
    <sheet name="Lista_lotes" sheetId="1" r:id="rId1"/>
    <sheet name="Lista_equipos" sheetId="3" r:id="rId2"/>
    <sheet name="Lista_implementos" sheetId="5" r:id="rId3"/>
    <sheet name="Lista_operadores" sheetId="2" r:id="rId4"/>
    <sheet name="Codigo_labor" sheetId="4" r:id="rId5"/>
    <sheet name="Unidad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9" i="1" l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Sindy Yulieth Urrutia</author>
    <author>PT</author>
    <author>Sindy Urrutia</author>
  </authors>
  <commentList>
    <comment ref="B2" authorId="0" shapeId="0" xr:uid="{FF6652D8-493F-4B9B-BC98-DB4D147962D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17.57
</t>
        </r>
      </text>
    </comment>
    <comment ref="C2" authorId="0" shapeId="0" xr:uid="{A561268C-415E-4F7A-B275-3075A5A932E9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11.35 - 12.00
cambio 12.02-&gt;10.90,10,40
</t>
        </r>
      </text>
    </comment>
    <comment ref="C3" authorId="0" shapeId="0" xr:uid="{9E9990E8-3043-467A-9E23-5ABFEAF248D3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10.37
cambio medida
10.27 -&gt;8.92
cambio de medida
8,92-&gt;9,12
</t>
        </r>
      </text>
    </comment>
    <comment ref="B4" authorId="0" shapeId="0" xr:uid="{DF0256C9-A788-4644-A580-F3FC184788FB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20.76</t>
        </r>
      </text>
    </comment>
    <comment ref="C4" authorId="0" shapeId="0" xr:uid="{9E16CDAB-A489-4BFD-9229-47ECDDC4568D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medida anterior 12.68, 14.37
Cambio 14.51-&gt;12.83
Cambio 12.83-&gt;12.77,12,37</t>
        </r>
      </text>
    </comment>
    <comment ref="C5" authorId="0" shapeId="0" xr:uid="{A48965E0-7116-4945-8870-A26FF8238CFB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Medida anterior 17.73, 16,56</t>
        </r>
      </text>
    </comment>
    <comment ref="C6" authorId="0" shapeId="0" xr:uid="{78A1918E-4F71-482E-A774-51BA959B60C8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14.56, 13.57,14,22,12,36,11,7,12,62
</t>
        </r>
      </text>
    </comment>
    <comment ref="B7" authorId="0" shapeId="0" xr:uid="{31051FC2-2389-4E6C-B485-266F974DF3FD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se modifica diseño del lote anexando una areas del lote 7 al lote 6.</t>
        </r>
      </text>
    </comment>
    <comment ref="C7" authorId="0" shapeId="0" xr:uid="{B29B0283-36FB-4D28-8CB2-43BA74A6368E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7.3, 7.62, 7,99
</t>
        </r>
      </text>
    </comment>
    <comment ref="B8" authorId="0" shapeId="0" xr:uid="{72CCB32B-0FBB-49B0-ADF7-F08579E4BBF3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Por diseño de lote se modifica el area bruta. Medida anterior 17.36
6.56 area neta + 75% equivalente al area bruta + 2 ha en derriba.</t>
        </r>
      </text>
    </comment>
    <comment ref="C8" authorId="0" shapeId="0" xr:uid="{C4F160BA-D7EA-4DF7-9E44-3C1BAB75F47E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6.8
MEDIDA ANTERIOR 7,07
MEDIDA ANTERIOR 8.20
</t>
        </r>
      </text>
    </comment>
    <comment ref="B9" authorId="0" shapeId="0" xr:uid="{65846FB5-5342-482B-ADD2-CADC980F9306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esta medida va a variar por nuevo siseño de lote. No se ha medido</t>
        </r>
      </text>
    </comment>
    <comment ref="C9" authorId="0" shapeId="0" xr:uid="{5EBD5A04-5B94-4DA7-AB97-1B8204DB8794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14.09, 18.04
MEDDA ANTERIOR 
15,36
</t>
        </r>
      </text>
    </comment>
    <comment ref="C10" authorId="0" shapeId="0" xr:uid="{7B2EB291-AC9A-4F58-BD1C-C215E044E6FC}">
      <text>
        <r>
          <rPr>
            <sz val="11"/>
            <color rgb="FF000000"/>
            <rFont val="Calibri"/>
            <family val="2"/>
            <charset val="1"/>
          </rPr>
          <t>Sindy Yulieth Urrutia Paz,
Medidas anterior: 5.25</t>
        </r>
      </text>
    </comment>
    <comment ref="C11" authorId="0" shapeId="0" xr:uid="{5D5AD0EA-59C8-4186-8A15-D23D26B6F90A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10.48, 10.32
</t>
        </r>
      </text>
    </comment>
    <comment ref="C12" authorId="0" shapeId="0" xr:uid="{52C7AFE4-EF09-4986-9210-0F0187CA8678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11.40, 11.35
Cambio 11.35-&gt;11.88
</t>
        </r>
      </text>
    </comment>
    <comment ref="C13" authorId="0" shapeId="0" xr:uid="{5A248C00-9A88-49D3-BB99-02C366E22388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falto pornerle fecha de estado al block 120718. medida anterior 16.04 medida anterio 16.28</t>
        </r>
      </text>
    </comment>
    <comment ref="C14" authorId="0" shapeId="0" xr:uid="{3420C173-2424-49A3-8E48-EB32C8500677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15.23, 13.64
</t>
        </r>
      </text>
    </comment>
    <comment ref="C15" authorId="0" shapeId="0" xr:uid="{E4AAC762-BD5B-4C1B-80F0-15FDD3BA7CBB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14.9, 13.17, 13.56
</t>
        </r>
      </text>
    </comment>
    <comment ref="C16" authorId="0" shapeId="0" xr:uid="{D63946F0-18A4-4797-9EFB-BFD84B0A4EC0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14.44,
14.00
</t>
        </r>
      </text>
    </comment>
    <comment ref="C17" authorId="0" shapeId="0" xr:uid="{495CF164-43B2-4DA1-A5B9-C25633B215B3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MEDIDA ANTERIOR 14.74-14,34</t>
        </r>
      </text>
    </comment>
    <comment ref="C18" authorId="0" shapeId="0" xr:uid="{F784F594-27AB-4004-B2EE-FF76EADC1C2F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13 Ha.
12,66, 14,17
</t>
        </r>
      </text>
    </comment>
    <comment ref="C19" authorId="1" shapeId="0" xr:uid="{3F9F4339-6485-4D75-8508-A6D6FA3E822B}">
      <text>
        <r>
          <rPr>
            <b/>
            <sz val="9"/>
            <color indexed="81"/>
            <rFont val="Tahoma"/>
            <family val="2"/>
          </rPr>
          <t>Sindy Yulieth Urrutia:</t>
        </r>
        <r>
          <rPr>
            <sz val="9"/>
            <color indexed="81"/>
            <rFont val="Tahoma"/>
            <family val="2"/>
          </rPr>
          <t xml:space="preserve">
medida anterior 16.91-18,09, 22,13
</t>
        </r>
      </text>
    </comment>
    <comment ref="C20" authorId="0" shapeId="0" xr:uid="{8F3F2152-1E4A-4EA8-9C12-BB26E75CEA32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MEDI ANTERIOR 11.79, 12,56
</t>
        </r>
      </text>
    </comment>
    <comment ref="C21" authorId="0" shapeId="0" xr:uid="{33578924-986A-4C07-9B0C-9DB21D4BB25F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medida anterior 19.08,18,72</t>
        </r>
      </text>
    </comment>
    <comment ref="C22" authorId="0" shapeId="0" xr:uid="{F6E9FDA0-6C7E-4BA6-8BFE-C9E723BF3484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12.05, 12,09
</t>
        </r>
      </text>
    </comment>
    <comment ref="C23" authorId="0" shapeId="0" xr:uid="{4961B3B5-3F7F-4650-BBA9-CB5CEEE1B679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>MEDIDA ANTERIO 14.29</t>
        </r>
      </text>
    </comment>
    <comment ref="C24" authorId="0" shapeId="0" xr:uid="{0715D89C-86A9-4E71-AC5F-E20C24FAD2E1}">
      <text>
        <r>
          <rPr>
            <b/>
            <sz val="9"/>
            <color rgb="FF000000"/>
            <rFont val="Tahoma"/>
            <family val="2"/>
            <charset val="1"/>
          </rPr>
          <t xml:space="preserve">Medida anterior 9.61-11,03 </t>
        </r>
      </text>
    </comment>
    <comment ref="C25" authorId="0" shapeId="0" xr:uid="{AAE5D051-A95E-41D7-9470-F4DCD7FB014E}">
      <text>
        <r>
          <rPr>
            <b/>
            <sz val="9"/>
            <color rgb="FF000000"/>
            <rFont val="Tahoma"/>
            <family val="2"/>
            <charset val="1"/>
          </rPr>
          <t xml:space="preserve">MEDIDA ANTERIOR 16.31,12,04,10.39
</t>
        </r>
      </text>
    </comment>
    <comment ref="C26" authorId="0" shapeId="0" xr:uid="{8728A768-C2B3-49DC-909A-174695220E4F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Medida anterior 12.74,14,83
</t>
        </r>
      </text>
    </comment>
    <comment ref="C27" authorId="0" shapeId="0" xr:uid="{14B8F3FA-C927-4495-9A69-6738AFD3A710}">
      <text>
        <r>
          <rPr>
            <sz val="11"/>
            <color rgb="FF000000"/>
            <rFont val="Calibri"/>
            <family val="2"/>
            <charset val="1"/>
          </rPr>
          <t xml:space="preserve">Sindy Yulieth Urrutia Paz:
</t>
        </r>
        <r>
          <rPr>
            <sz val="9"/>
            <color rgb="FF000000"/>
            <rFont val="Tahoma"/>
            <family val="2"/>
            <charset val="1"/>
          </rPr>
          <t xml:space="preserve">Medida anterior 7.37
Ultima medida 8.18,7,77
Nueva: 6,81
</t>
        </r>
      </text>
    </comment>
    <comment ref="C28" authorId="0" shapeId="0" xr:uid="{9C4F914D-F2A5-4864-898C-FC712092DD7C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Medida anterior 6.58-7,52</t>
        </r>
      </text>
    </comment>
    <comment ref="A29" authorId="0" shapeId="0" xr:uid="{9F1BAD91-E571-46BF-AA2F-AF4DF006E97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LOTE 1 JAMAICA</t>
        </r>
      </text>
    </comment>
    <comment ref="C29" authorId="0" shapeId="0" xr:uid="{C180F4F0-16E1-4187-8BB9-98C2157DE560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
2.19-2.92
Cambio 2.92-&gt;2.90
</t>
        </r>
      </text>
    </comment>
    <comment ref="A30" authorId="0" shapeId="0" xr:uid="{88C097BE-B204-43B3-8C00-E1B5FC466F08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LOTE 2 DE JAMAICA</t>
        </r>
      </text>
    </comment>
    <comment ref="C30" authorId="0" shapeId="0" xr:uid="{DF0389AD-7B38-4C54-A789-6C316E2E0A1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5.87 -&gt;8.36
7,26</t>
        </r>
      </text>
    </comment>
    <comment ref="A31" authorId="0" shapeId="0" xr:uid="{FD506901-7F08-4441-AA4C-4FE21439B366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LOTE 3 DE JAMAICA</t>
        </r>
      </text>
    </comment>
    <comment ref="C31" authorId="0" shapeId="0" xr:uid="{D9D24EDA-CB77-4F16-A8F1-72580DEC9B0C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6.88-&gt;8.44
Cambio 8.44-&gt;8.12, 5</t>
        </r>
      </text>
    </comment>
    <comment ref="A32" authorId="0" shapeId="0" xr:uid="{B2E232B2-2718-45F0-946F-B1F44739A8C5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LOTE 4 DE JAMAICA</t>
        </r>
      </text>
    </comment>
    <comment ref="B32" authorId="0" shapeId="0" xr:uid="{5A382AB3-8F37-426E-AC26-EFF8BB44DDFA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Se restan 1.4 ha por temas de red electrica
</t>
        </r>
      </text>
    </comment>
    <comment ref="C32" authorId="0" shapeId="0" xr:uid="{E16E7B1E-C73F-4AB8-801A-4998B24A1369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Cabmio medida
8.51-&gt;11.88
cambio medida 
8.25--&gt;9.08
</t>
        </r>
      </text>
    </comment>
    <comment ref="B33" authorId="0" shapeId="0" xr:uid="{D22CD50E-2CA8-4966-85DE-B8BBE04D0E7E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Se restan 1.61 ha por temas de red electrica.
Por la casa se restan 0.37</t>
        </r>
      </text>
    </comment>
    <comment ref="C33" authorId="0" shapeId="0" xr:uid="{77F74D09-7B06-4406-B196-0DF8F2627BD7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19.10-&gt;19.85,13,91</t>
        </r>
      </text>
    </comment>
    <comment ref="A34" authorId="0" shapeId="0" xr:uid="{FA5563BF-7C41-43FB-91DA-8905D552CE2D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LOTE 6 DE JAMAICA</t>
        </r>
      </text>
    </comment>
    <comment ref="C34" authorId="0" shapeId="0" xr:uid="{92793037-DFE8-4A8B-9418-995BC8BA8E8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Medida anterior: 11.37
nueva 17.04
nuevo cambio
17.04-&gt;15.86,11,47
</t>
        </r>
      </text>
    </comment>
    <comment ref="B35" authorId="2" shapeId="0" xr:uid="{A822D104-3B61-419C-AD29-1B668C76FD7A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Area anteriore: 11,94
</t>
        </r>
      </text>
    </comment>
    <comment ref="C35" authorId="2" shapeId="0" xr:uid="{E5974E32-126F-42E1-8DD7-99C411298C81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Sindy Yulieth Urrutia:
cambio medida
8.30-&gt;10.54
Valor anterior 7,57
</t>
        </r>
      </text>
    </comment>
    <comment ref="B36" authorId="0" shapeId="0" xr:uid="{CA378286-3FF2-4696-8B87-FB8C76EAA985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Se descuentan 0.33 ha de reserva hidrica</t>
        </r>
      </text>
    </comment>
    <comment ref="C36" authorId="0" shapeId="0" xr:uid="{1146F687-94EF-48AC-8C18-5FFD452F7FE9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
10.59-&gt;11.01, CAMBIO DE MEDIDA cambio de medda 10.67 --&gt; 10.80
</t>
        </r>
      </text>
    </comment>
    <comment ref="C37" authorId="0" shapeId="0" xr:uid="{1C98B7DB-8D91-4074-BC78-BFC7E8ED9AEF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
14.09-&gt;14.33
Cambio 14.33 -&gt;13.95
camboo 10-27---&gt; 9.31
</t>
        </r>
      </text>
    </comment>
    <comment ref="B38" authorId="0" shapeId="0" xr:uid="{D48F1773-93FE-4905-A71F-F71123A98CA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medida:
12.0-&gt;13.06</t>
        </r>
      </text>
    </comment>
    <comment ref="C38" authorId="0" shapeId="0" xr:uid="{E5B27250-12AB-4D26-A609-EA802D945D16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
10.65-&gt;12.0
nuevo 
12.0-&gt;11.58
11.58-&gt;12.01
cambio 
8.80 --&gt; 6.95
</t>
        </r>
      </text>
    </comment>
    <comment ref="C39" authorId="0" shapeId="0" xr:uid="{24CDB160-EBB9-45C5-9A31-9298B6298107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
9.42-&gt;9.39
cambio medida:
6.87 -&gt; 7.93
</t>
        </r>
      </text>
    </comment>
    <comment ref="C40" authorId="0" shapeId="0" xr:uid="{2D654572-D01B-4F52-8445-3C0DAD9FE737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7.13-&gt;5.29</t>
        </r>
      </text>
    </comment>
    <comment ref="C41" authorId="0" shapeId="0" xr:uid="{82D02E92-7A31-4928-B451-4F74EB5A2084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
10.83-&gt; 11.17</t>
        </r>
      </text>
    </comment>
    <comment ref="C42" authorId="0" shapeId="0" xr:uid="{9802F147-76F9-473F-AD96-3B564D7299F8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9.10-&gt;10.56, 8,62</t>
        </r>
      </text>
    </comment>
    <comment ref="B43" authorId="0" shapeId="0" xr:uid="{29FEBE71-27E3-48F1-8463-BEA592333958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
12-&gt;13.2</t>
        </r>
      </text>
    </comment>
    <comment ref="C43" authorId="0" shapeId="0" xr:uid="{DA4AFFF0-5618-4175-BA8D-C09C0A0DD8CF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
11.0 -&gt; 12.17, 8,92</t>
        </r>
      </text>
    </comment>
    <comment ref="B44" authorId="0" shapeId="0" xr:uid="{61E0BE5E-88E3-49D4-B7D8-019B7C8D8E6A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
13.0-&gt;11.80</t>
        </r>
      </text>
    </comment>
    <comment ref="C44" authorId="0" shapeId="0" xr:uid="{44598F96-5503-49FA-A6DD-7918DE5C1285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media 
9.75-&gt;11.13,8,15</t>
        </r>
      </text>
    </comment>
    <comment ref="C45" authorId="0" shapeId="0" xr:uid="{B34C19A3-E9E2-4144-BE24-F4632BAA733C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 
8.25-&gt;7.74, 5,83
</t>
        </r>
      </text>
    </comment>
    <comment ref="C46" authorId="0" shapeId="0" xr:uid="{0DF17175-7665-4378-8260-DFC7B60620E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 
8.95
</t>
        </r>
      </text>
    </comment>
    <comment ref="C47" authorId="0" shapeId="0" xr:uid="{79E0B92F-FAC6-45CD-AFAD-D503F9ECE106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
12.99</t>
        </r>
      </text>
    </comment>
    <comment ref="B48" authorId="0" shapeId="0" xr:uid="{1B355BDB-9A3B-4248-B07A-2894FC4B8DE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 5.67-&gt;6.86
</t>
        </r>
      </text>
    </comment>
    <comment ref="C48" authorId="0" shapeId="0" xr:uid="{D782977E-73D5-4D45-8430-37C1119E48E2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3.79-&gt;6.86 5,58</t>
        </r>
      </text>
    </comment>
    <comment ref="C49" authorId="0" shapeId="0" xr:uid="{B935B594-A1F9-4856-8809-DEECF853A327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 xml:space="preserve">Cambio medida,
4.12, 3,03
</t>
        </r>
      </text>
    </comment>
    <comment ref="C50" authorId="0" shapeId="0" xr:uid="{4712585C-6060-4FAC-A351-6F3F8BC1BB7B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medida,
4.02, 2,88</t>
        </r>
      </text>
    </comment>
    <comment ref="C51" authorId="0" shapeId="0" xr:uid="{7C9E409A-2148-41BA-83EC-5BBDD94EFDC7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medida,
2.06, 1,47</t>
        </r>
      </text>
    </comment>
    <comment ref="C52" authorId="0" shapeId="0" xr:uid="{95E16CCE-BD65-4174-9EE7-5ECA9935E115}">
      <text>
        <r>
          <rPr>
            <sz val="11"/>
            <color rgb="FF000000"/>
            <rFont val="Calibri"/>
            <family val="2"/>
            <charset val="1"/>
          </rPr>
          <t xml:space="preserve">Sindy Yulieth Urrutia
</t>
        </r>
        <r>
          <rPr>
            <sz val="9"/>
            <color rgb="FF000000"/>
            <rFont val="Tahoma"/>
            <family val="2"/>
            <charset val="1"/>
          </rPr>
          <t>Cambio medida 3.32-&gt;3.03 2,86 2,76</t>
        </r>
      </text>
    </comment>
    <comment ref="B53" authorId="0" shapeId="0" xr:uid="{C93B5F07-6054-4783-A4DA-F68CA8A689E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meidda 3.34-&gt;3.36</t>
        </r>
      </text>
    </comment>
    <comment ref="C53" authorId="0" shapeId="0" xr:uid="{4EE58404-81A2-4244-8BD4-B4E0567DB2E6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medida,
3.36 2,49 2,37</t>
        </r>
      </text>
    </comment>
    <comment ref="C54" authorId="0" shapeId="0" xr:uid="{7D15D7A7-B885-4DD8-90F2-FCBF11AE3903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5.96-&gt;7.29
5,51</t>
        </r>
      </text>
    </comment>
    <comment ref="C55" authorId="0" shapeId="0" xr:uid="{E5E6F801-A4FD-4CD0-A713-974B9DFE60DC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 4.95-&gt;6.87 5,3</t>
        </r>
      </text>
    </comment>
    <comment ref="C56" authorId="0" shapeId="0" xr:uid="{2AB25E1C-2A05-4669-91DC-E03E0A52279C}">
      <text>
        <r>
          <rPr>
            <sz val="11"/>
            <color rgb="FF000000"/>
            <rFont val="Calibri"/>
            <family val="2"/>
            <charset val="1"/>
          </rPr>
          <t xml:space="preserve">Sindy Yulieth Urrutia:
</t>
        </r>
        <r>
          <rPr>
            <sz val="9"/>
            <color rgb="FF000000"/>
            <rFont val="Tahoma"/>
            <family val="2"/>
            <charset val="1"/>
          </rPr>
          <t>Cambio medida,
4.84 3,59</t>
        </r>
      </text>
    </comment>
    <comment ref="C57" authorId="2" shapeId="0" xr:uid="{11AA3354-58F1-4104-B260-354889614D2F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18,55
</t>
        </r>
      </text>
    </comment>
    <comment ref="C58" authorId="2" shapeId="0" xr:uid="{2896FF12-BEC7-4186-84EB-32E313919AF6}">
      <text>
        <r>
          <rPr>
            <sz val="9"/>
            <color indexed="81"/>
            <rFont val="Tahoma"/>
            <family val="2"/>
          </rPr>
          <t>medida anterior 13,09</t>
        </r>
      </text>
    </comment>
    <comment ref="C59" authorId="2" shapeId="0" xr:uid="{863F5F00-54BC-4098-9C74-118A6B7C7B6B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21,16</t>
        </r>
      </text>
    </comment>
    <comment ref="C60" authorId="2" shapeId="0" xr:uid="{B1844EA8-AC93-4727-A468-547554A3578C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16,52
</t>
        </r>
      </text>
    </comment>
    <comment ref="C61" authorId="2" shapeId="0" xr:uid="{7383870E-BD9E-4E36-8716-B68EACB6A315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10,18</t>
        </r>
      </text>
    </comment>
    <comment ref="C62" authorId="2" shapeId="0" xr:uid="{29E9994A-08B2-4BB4-861C-D41B58479A0B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15</t>
        </r>
      </text>
    </comment>
    <comment ref="C63" authorId="2" shapeId="0" xr:uid="{1E0D0C59-309E-421C-990E-40242353B6F5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 14
</t>
        </r>
      </text>
    </comment>
    <comment ref="C64" authorId="2" shapeId="0" xr:uid="{F2F43E4B-CC6B-4EB7-9ABD-5D83726C0252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</t>
        </r>
      </text>
    </comment>
    <comment ref="C65" authorId="2" shapeId="0" xr:uid="{01EB3A73-2875-4B82-951D-5CDF0E8E56BF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</t>
        </r>
      </text>
    </comment>
    <comment ref="C66" authorId="2" shapeId="0" xr:uid="{E08B284D-984C-433A-94FE-A8903E9D9B29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medida anterior</t>
        </r>
      </text>
    </comment>
    <comment ref="C72" authorId="3" shapeId="0" xr:uid="{6C7E9461-FFD8-4461-A8D3-B2A4ED8ECD8F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75" authorId="3" shapeId="0" xr:uid="{F82CD787-EDAA-4080-848D-5F88BDF9439B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8,33,8,51</t>
        </r>
      </text>
    </comment>
    <comment ref="B76" authorId="3" shapeId="0" xr:uid="{83530F41-D5F8-4784-B431-5390A3E96294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11,2
</t>
        </r>
      </text>
    </comment>
    <comment ref="C76" authorId="3" shapeId="0" xr:uid="{893300F4-D335-4133-81C2-E0D837B91517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B77" authorId="3" shapeId="0" xr:uid="{E6346B94-DC0B-434B-9840-F6461955CEFB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11,2
</t>
        </r>
      </text>
    </comment>
    <comment ref="C77" authorId="3" shapeId="0" xr:uid="{21946F46-5701-45E3-AE1C-F309E0AAE8F8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B78" authorId="3" shapeId="0" xr:uid="{39843907-45E5-4794-BB1F-BEB68D8C2FD7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11,2
</t>
        </r>
      </text>
    </comment>
    <comment ref="C78" authorId="3" shapeId="0" xr:uid="{99AD4EDC-F9C2-4539-8ACD-FE9E407EA23A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B79" authorId="3" shapeId="0" xr:uid="{502CE164-D6FC-4513-848A-69F467009621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11,2
</t>
        </r>
      </text>
    </comment>
    <comment ref="C79" authorId="3" shapeId="0" xr:uid="{9A9E1735-1BCD-48D5-B738-F31211C6D974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80" authorId="3" shapeId="0" xr:uid="{D952A9A9-4787-4D7D-A4EB-75A24718AC82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81" authorId="3" shapeId="0" xr:uid="{79016ED8-22EE-4054-962A-27DB58E1E97D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82" authorId="3" shapeId="0" xr:uid="{EAD9040B-3383-453D-8A80-ABB748638F4B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83" authorId="3" shapeId="0" xr:uid="{80DC99E0-9BA0-48E2-863C-3A5D6B9DCAA9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  <comment ref="C84" authorId="3" shapeId="0" xr:uid="{83CE0236-7072-4010-9D5D-C4284D9F6AD8}">
      <text>
        <r>
          <rPr>
            <b/>
            <sz val="9"/>
            <color indexed="81"/>
            <rFont val="Tahoma"/>
            <family val="2"/>
          </rPr>
          <t>Sindy Urrutia:</t>
        </r>
        <r>
          <rPr>
            <sz val="9"/>
            <color indexed="81"/>
            <rFont val="Tahoma"/>
            <family val="2"/>
          </rPr>
          <t xml:space="preserve">
8,56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</author>
  </authors>
  <commentList>
    <comment ref="B45" authorId="0" shapeId="0" xr:uid="{0670E4D5-D0C5-413F-A8D0-269ECEF021A9}">
      <text>
        <r>
          <rPr>
            <b/>
            <sz val="9"/>
            <color indexed="81"/>
            <rFont val="Tahoma"/>
            <family val="2"/>
          </rPr>
          <t>PT:</t>
        </r>
        <r>
          <rPr>
            <sz val="9"/>
            <color indexed="81"/>
            <rFont val="Tahoma"/>
            <family val="2"/>
          </rPr>
          <t xml:space="preserve">
TRANSPORTE DE AGROQUIMICOS</t>
        </r>
      </text>
    </comment>
  </commentList>
</comments>
</file>

<file path=xl/sharedStrings.xml><?xml version="1.0" encoding="utf-8"?>
<sst xmlns="http://schemas.openxmlformats.org/spreadsheetml/2006/main" count="1306" uniqueCount="529">
  <si>
    <t>Lote</t>
  </si>
  <si>
    <t>Area Neta</t>
  </si>
  <si>
    <t>Área Efec</t>
  </si>
  <si>
    <t>Estado</t>
  </si>
  <si>
    <t>Finca</t>
  </si>
  <si>
    <t>Distrito</t>
  </si>
  <si>
    <t>Preparación</t>
  </si>
  <si>
    <t>Argentina</t>
  </si>
  <si>
    <t>Distrito 3</t>
  </si>
  <si>
    <t>Código</t>
  </si>
  <si>
    <t>Operador</t>
  </si>
  <si>
    <t>EMPRESA</t>
  </si>
  <si>
    <t>MADERA AVILA AMAURIS</t>
  </si>
  <si>
    <t>ACTIVO</t>
  </si>
  <si>
    <t>GUAPA</t>
  </si>
  <si>
    <t xml:space="preserve">ZAPATA PEÑA ALIRIO </t>
  </si>
  <si>
    <t>UNALTRAPEC</t>
  </si>
  <si>
    <t>VELASQUEZ ESCOBAR ANIBAL EDUARDO</t>
  </si>
  <si>
    <t>ESPITIA DIAZ DANYS DANIEL</t>
  </si>
  <si>
    <t>BEDOYA GONZALEZ DENIS LEONCIO</t>
  </si>
  <si>
    <t xml:space="preserve">MORALES VILLA DIEGO JESUS </t>
  </si>
  <si>
    <t>ENLACE TOTAL</t>
  </si>
  <si>
    <t xml:space="preserve">MORENO QUINTERO ELBER </t>
  </si>
  <si>
    <t>MOSQUERA CÓRDOBA EUCLIDES</t>
  </si>
  <si>
    <t>ZAPATA OSORIO JOSE FREDY</t>
  </si>
  <si>
    <t>QUINTERO GERMIN ARLEY</t>
  </si>
  <si>
    <t>GARCIA QUINTERO GILBERTO ANTONIO</t>
  </si>
  <si>
    <t>ARROYO MONTALVO JESUS MARIA</t>
  </si>
  <si>
    <t>GRACIANO SEPULVEDA JOSE ANGEL</t>
  </si>
  <si>
    <t xml:space="preserve">DURANGO USUGA LUIS ALBERTO </t>
  </si>
  <si>
    <t>PÉREZ MOSQUERA LUIS EDUARDO</t>
  </si>
  <si>
    <t>ESPITIA LUGO LUIS ENRIQUE</t>
  </si>
  <si>
    <t xml:space="preserve">VARGAS MEDARDO </t>
  </si>
  <si>
    <t xml:space="preserve">MENDOZA ARGEL OSNAIDER RAFAEL </t>
  </si>
  <si>
    <t>MONTIEL BERRIO PEDRO PABLO</t>
  </si>
  <si>
    <t>BENITEZ VIDAL JUAN DAVID</t>
  </si>
  <si>
    <t xml:space="preserve">NUÑEZ VILLALBA EDUARDO ANTONIO                                                                                                                                                                                                                                       </t>
  </si>
  <si>
    <t>YAÑEZ RIOS GERMAN LEON</t>
  </si>
  <si>
    <t>GAVIRIA DIAZ CRISTIAN DANIEL</t>
  </si>
  <si>
    <t>MERCADO MONTES NILSON DE JESUS</t>
  </si>
  <si>
    <t>SERNA ARIAS RAUL ALBERTO</t>
  </si>
  <si>
    <t xml:space="preserve">GONZALEZ PATIÑO KEVIN STIVEN </t>
  </si>
  <si>
    <t>ALVAREZ SILGADO JORGE EMILIO</t>
  </si>
  <si>
    <t>AGUIRRE OSORIO DINEY</t>
  </si>
  <si>
    <t>LLORENTE GUERRA JANIO ALBERTO</t>
  </si>
  <si>
    <t>RODRIGUEZ JIMENEZ JENRY</t>
  </si>
  <si>
    <t>TORRES VELASQUEZ WILSON ALEJANDRO</t>
  </si>
  <si>
    <t>BENITEZ PADILLA LUIS MANUEL</t>
  </si>
  <si>
    <t>MENA ORDOÑEZ JUAN FELIPE</t>
  </si>
  <si>
    <t xml:space="preserve">ORTEGA MONTERROZA VICENTE RAFAEL </t>
  </si>
  <si>
    <t>LOPEZ GUISAO LUIS</t>
  </si>
  <si>
    <t>LUIS FERNANDO DIAZ</t>
  </si>
  <si>
    <t xml:space="preserve">COGOLLO QUINTERO LUIS ELIAS </t>
  </si>
  <si>
    <t xml:space="preserve">USUGA CARTAGENA JOHN EDWIN </t>
  </si>
  <si>
    <t>MELGAREJO GUAPACHA HERMES GABRIEL</t>
  </si>
  <si>
    <t xml:space="preserve">URIBE RAMBAY JORGE HERNAN </t>
  </si>
  <si>
    <t>VERGARA DIAZ PEDRO JAVIER</t>
  </si>
  <si>
    <t xml:space="preserve">TORRES NOREÑA KEVIN DAVID </t>
  </si>
  <si>
    <t>CASTAÑO TAPASCO JUAQUIN EDUARDO</t>
  </si>
  <si>
    <t>URANGO HERNANDEZ UBISNEY</t>
  </si>
  <si>
    <t>PADILLA PADILLA RICHAR MANUEL</t>
  </si>
  <si>
    <t xml:space="preserve">ARCO CHAMORRO JHON BAIRO </t>
  </si>
  <si>
    <t>JIMENEZ SAEZ WILTON RAFAEL</t>
  </si>
  <si>
    <t xml:space="preserve">GUZMAN NISPERUZA NORBEY </t>
  </si>
  <si>
    <t>VEGA BARON CLEIBER ESTIVEN</t>
  </si>
  <si>
    <t>FLOREZ PADIERNA VICTOR ALONSO</t>
  </si>
  <si>
    <t>BANQUETH HERNANDEZ JAVIER</t>
  </si>
  <si>
    <t>PEREZ ARTEAGA FRANCISCO MIGUEL</t>
  </si>
  <si>
    <t>DURANGO BENITEZ ALEXANDER</t>
  </si>
  <si>
    <t>ESCOBAR MACHADO ANDRUS LEON</t>
  </si>
  <si>
    <t>Equipo</t>
  </si>
  <si>
    <t>Tipo de maquina</t>
  </si>
  <si>
    <t>Proveedor</t>
  </si>
  <si>
    <t>ToR</t>
  </si>
  <si>
    <t>Potencia</t>
  </si>
  <si>
    <t>TA-01</t>
  </si>
  <si>
    <t>Propia</t>
  </si>
  <si>
    <t>Guapa</t>
  </si>
  <si>
    <t>T</t>
  </si>
  <si>
    <t>108 HP</t>
  </si>
  <si>
    <t>TA-02</t>
  </si>
  <si>
    <t>TA-03</t>
  </si>
  <si>
    <t>TA-04</t>
  </si>
  <si>
    <t>TA-05</t>
  </si>
  <si>
    <t>TA-06</t>
  </si>
  <si>
    <t>135 HP</t>
  </si>
  <si>
    <t>TA-07</t>
  </si>
  <si>
    <t>TA-08</t>
  </si>
  <si>
    <t>Pajarita-310K</t>
  </si>
  <si>
    <t>TA-09</t>
  </si>
  <si>
    <t>R</t>
  </si>
  <si>
    <t>Retro-120D</t>
  </si>
  <si>
    <t>TA-10</t>
  </si>
  <si>
    <t>Bulldozer</t>
  </si>
  <si>
    <t>TA-11</t>
  </si>
  <si>
    <t>Ford cargo</t>
  </si>
  <si>
    <t>TA-12</t>
  </si>
  <si>
    <t>Rtero-U50</t>
  </si>
  <si>
    <t>TA-13</t>
  </si>
  <si>
    <t>TA-14</t>
  </si>
  <si>
    <t>TA-15</t>
  </si>
  <si>
    <t>TA-16</t>
  </si>
  <si>
    <t>TA-17</t>
  </si>
  <si>
    <t>TA-18</t>
  </si>
  <si>
    <t>Montacargas</t>
  </si>
  <si>
    <t>TA-19</t>
  </si>
  <si>
    <t>TA-20</t>
  </si>
  <si>
    <t>TA-21</t>
  </si>
  <si>
    <t>TA-22</t>
  </si>
  <si>
    <t>Camión sisterna</t>
  </si>
  <si>
    <t>TA-23</t>
  </si>
  <si>
    <t>TA-24</t>
  </si>
  <si>
    <t>TA-25</t>
  </si>
  <si>
    <t>TA-26</t>
  </si>
  <si>
    <t>Camión</t>
  </si>
  <si>
    <t>Alquilada</t>
  </si>
  <si>
    <t>Transportes Matius</t>
  </si>
  <si>
    <t>Camioneta</t>
  </si>
  <si>
    <t>Hitachi -120</t>
  </si>
  <si>
    <t>Excavaciones Echeverri</t>
  </si>
  <si>
    <t>120 HP</t>
  </si>
  <si>
    <t>Hitachi -135</t>
  </si>
  <si>
    <t>Hunday - 60</t>
  </si>
  <si>
    <t>60 HP</t>
  </si>
  <si>
    <t>Montacarga - Toyota JP</t>
  </si>
  <si>
    <t>Jaider de Jesús Perez Torres</t>
  </si>
  <si>
    <t>Mula</t>
  </si>
  <si>
    <t>New Holland 1</t>
  </si>
  <si>
    <t>Kelly johana Rodriguez Ososrio</t>
  </si>
  <si>
    <t>New Holland 2</t>
  </si>
  <si>
    <t>Same explorer 1195</t>
  </si>
  <si>
    <t>Cristian Mauricio Velasquez Restrepo</t>
  </si>
  <si>
    <t>Sany - 135</t>
  </si>
  <si>
    <t>Kubota - 108 JD</t>
  </si>
  <si>
    <t>Juan Fernando Díaz</t>
  </si>
  <si>
    <t xml:space="preserve">Hunday -220 </t>
  </si>
  <si>
    <t>220 HP</t>
  </si>
  <si>
    <t>Lon Kin-60</t>
  </si>
  <si>
    <t>John Deere-6403</t>
  </si>
  <si>
    <t>Gilberto Borja</t>
  </si>
  <si>
    <t>New Holland KD</t>
  </si>
  <si>
    <t>Kevin Andrés Díaz López</t>
  </si>
  <si>
    <t>Kubota - 108 GB</t>
  </si>
  <si>
    <t>Camión SH</t>
  </si>
  <si>
    <t>Sigifredo Hincapie</t>
  </si>
  <si>
    <t>New Holland GB</t>
  </si>
  <si>
    <t>Planchon</t>
  </si>
  <si>
    <t>TA-27</t>
  </si>
  <si>
    <t>TA-28</t>
  </si>
  <si>
    <t>TA-29</t>
  </si>
  <si>
    <t>TA-30</t>
  </si>
  <si>
    <t>TA-31</t>
  </si>
  <si>
    <t>TA-32</t>
  </si>
  <si>
    <t>TA-33</t>
  </si>
  <si>
    <t>TA-34</t>
  </si>
  <si>
    <t>TA-35</t>
  </si>
  <si>
    <t>TA-36</t>
  </si>
  <si>
    <t>TA-37</t>
  </si>
  <si>
    <t>TA-38</t>
  </si>
  <si>
    <t xml:space="preserve">NISSAN </t>
  </si>
  <si>
    <t>Ambiente Sanos de Colombia S.A.S</t>
  </si>
  <si>
    <t>John Deere-6403  ZM</t>
  </si>
  <si>
    <t>Agricola ZM</t>
  </si>
  <si>
    <t>Bulldozer-D5-R</t>
  </si>
  <si>
    <t>Agrotransvol</t>
  </si>
  <si>
    <t>Kubota - 108 AS</t>
  </si>
  <si>
    <t xml:space="preserve">Asociacion De Amistradores </t>
  </si>
  <si>
    <t>Ford -6610</t>
  </si>
  <si>
    <t>Global -130</t>
  </si>
  <si>
    <t>130 HP</t>
  </si>
  <si>
    <t>New Holland-5100 AF</t>
  </si>
  <si>
    <t>Adrian Fernandez</t>
  </si>
  <si>
    <t>Samy  Explore CMV</t>
  </si>
  <si>
    <t>Jhon Deere 5705 JL</t>
  </si>
  <si>
    <t xml:space="preserve">Jaime Javier Lozano </t>
  </si>
  <si>
    <t>Fm wordl  KN</t>
  </si>
  <si>
    <t xml:space="preserve">Karina Naranjo </t>
  </si>
  <si>
    <t>140 HP</t>
  </si>
  <si>
    <t>New Holland JL</t>
  </si>
  <si>
    <t>John Deere-6403  CH</t>
  </si>
  <si>
    <t xml:space="preserve">Carolina Hernandez </t>
  </si>
  <si>
    <t>95 HP</t>
  </si>
  <si>
    <t>Kubota - 108 KN</t>
  </si>
  <si>
    <t>Massey Ferguson KN</t>
  </si>
  <si>
    <t>Jhon Deree 5705 WG</t>
  </si>
  <si>
    <t>Willian Andres Garcia</t>
  </si>
  <si>
    <t>Massey Ferguson 4310 CV</t>
  </si>
  <si>
    <t>Carlos Vinasco</t>
  </si>
  <si>
    <t>Massey Ferguson 290 CV</t>
  </si>
  <si>
    <t xml:space="preserve">ZOOMLION -75 </t>
  </si>
  <si>
    <t>Bulldozer 550</t>
  </si>
  <si>
    <t>GJM</t>
  </si>
  <si>
    <t>N/A</t>
  </si>
  <si>
    <t xml:space="preserve">TA-39 </t>
  </si>
  <si>
    <t>Dron T50</t>
  </si>
  <si>
    <t>TA-40</t>
  </si>
  <si>
    <t>Planta Electrica</t>
  </si>
  <si>
    <t>TA-41</t>
  </si>
  <si>
    <t>Planta Electrica-Empacadora</t>
  </si>
  <si>
    <t>TA-42</t>
  </si>
  <si>
    <t xml:space="preserve">Camioneta Hilux HPL261 </t>
  </si>
  <si>
    <t>TA-43</t>
  </si>
  <si>
    <t>Camioneta Hilux HPL316</t>
  </si>
  <si>
    <t>Bulldozer D4C</t>
  </si>
  <si>
    <t>X ceros</t>
  </si>
  <si>
    <t>Hitachi -130</t>
  </si>
  <si>
    <t>Sany - 215</t>
  </si>
  <si>
    <t>Lovol AO</t>
  </si>
  <si>
    <t>Andres Ortiz</t>
  </si>
  <si>
    <t>Jhon Deree 6125 D</t>
  </si>
  <si>
    <t>TA-44</t>
  </si>
  <si>
    <t>Camionta Nissan ENV004</t>
  </si>
  <si>
    <t>TA-45</t>
  </si>
  <si>
    <t>Jimmy NTY390</t>
  </si>
  <si>
    <t>TA-46</t>
  </si>
  <si>
    <t>Jimmy NTY391</t>
  </si>
  <si>
    <t>TA-47</t>
  </si>
  <si>
    <t>Motocarro CERONTE200</t>
  </si>
  <si>
    <t>TA-48</t>
  </si>
  <si>
    <t>Dron T70P</t>
  </si>
  <si>
    <t>TA-49</t>
  </si>
  <si>
    <t xml:space="preserve">Dron Multiespetral </t>
  </si>
  <si>
    <t>TA-50</t>
  </si>
  <si>
    <t>Dron 2AIR</t>
  </si>
  <si>
    <t>kubota 108 JA</t>
  </si>
  <si>
    <t>Jose Arango</t>
  </si>
  <si>
    <t>Montacarga HELI</t>
  </si>
  <si>
    <t>Carga pesada s.a.s</t>
  </si>
  <si>
    <t>Kubota 9540 JA</t>
  </si>
  <si>
    <t>New Holland 6630 MN</t>
  </si>
  <si>
    <t xml:space="preserve">Milton Mena Urrego </t>
  </si>
  <si>
    <t>kubota 9540 NC</t>
  </si>
  <si>
    <t xml:space="preserve">Enora Correa Salas </t>
  </si>
  <si>
    <t>Masey Fergunson 4309 NC</t>
  </si>
  <si>
    <t>Jhon Deere 6125 JL</t>
  </si>
  <si>
    <t>TA-51</t>
  </si>
  <si>
    <t>Descripción</t>
  </si>
  <si>
    <t>Clasificación</t>
  </si>
  <si>
    <t>Distribución</t>
  </si>
  <si>
    <t>ABASTECIMIENTO DE AGUA (MEZCLAS) </t>
  </si>
  <si>
    <t>Efectivo</t>
  </si>
  <si>
    <t>T - horometro</t>
  </si>
  <si>
    <t>APLICACIÓN CON BOOM SPRAYER</t>
  </si>
  <si>
    <t>AUSENTISMOS</t>
  </si>
  <si>
    <t>Imponderable</t>
  </si>
  <si>
    <t>CONSTRUCCIÓN DE CAMINOS PRINCIPALES</t>
  </si>
  <si>
    <t>CIVILIZACIÓN</t>
  </si>
  <si>
    <t>DERRIBA DE ARBOLES BULLDOZER</t>
  </si>
  <si>
    <t>CONSTRUCCIÓN DE DRENAJE PRIMARIO</t>
  </si>
  <si>
    <t>CONSTRUCCIÓN DE DRENAJE RECOLECTOR</t>
  </si>
  <si>
    <t>CONSTRUCCIÓN DE DRENAJES ESPINAS</t>
  </si>
  <si>
    <t>ELIMINACIÓN DE RASTROJO</t>
  </si>
  <si>
    <t>ENCAMADO</t>
  </si>
  <si>
    <t>INCAPACITADO</t>
  </si>
  <si>
    <t>MANTENIMIENTO DE DRENAJES</t>
  </si>
  <si>
    <t>MANTENIMIENTO DE VÍAS</t>
  </si>
  <si>
    <t>REPARACIÓN DE PUENTES</t>
  </si>
  <si>
    <t>NIVELACIÓN</t>
  </si>
  <si>
    <t>PERMISO</t>
  </si>
  <si>
    <t>PERMISO REMUNERADO</t>
  </si>
  <si>
    <t>CONSTRUCCIÓN DE PUENTES SECUNDARIOS Y TERCIARIOS</t>
  </si>
  <si>
    <t>RASTRA AFINADORA</t>
  </si>
  <si>
    <t>RASTRA PULIDOR</t>
  </si>
  <si>
    <t>RECAVA DRENAJES PRIMARIOS</t>
  </si>
  <si>
    <t>SUBSOLADO</t>
  </si>
  <si>
    <t>TRANSPORTE DE COLINO</t>
  </si>
  <si>
    <t>TRANSPORTE DE MADERA</t>
  </si>
  <si>
    <t>TRANSPORTE DE TUBOS</t>
  </si>
  <si>
    <t>CONSTRUCCIÓN DE VÍAS SECUNDARIAS</t>
  </si>
  <si>
    <t>CONSTRUCCIÓN DE PUENTES PRIMARIOS</t>
  </si>
  <si>
    <t>CONTROL DE MAQUINAS RENTADAS</t>
  </si>
  <si>
    <t>VACACIONES</t>
  </si>
  <si>
    <t>NA</t>
  </si>
  <si>
    <t>TRANSPORTE Y CARGUE DE COSECHA MANUAL</t>
  </si>
  <si>
    <t>CONSTRUCCIÓN DE BOQUETES</t>
  </si>
  <si>
    <t>TRASVASE DE BINES</t>
  </si>
  <si>
    <t>APLICACIONES CON STROLLER</t>
  </si>
  <si>
    <t>CONTROL DE MALEZAS CON TRACTOR</t>
  </si>
  <si>
    <t>DESCANSO COMPENSADO</t>
  </si>
  <si>
    <t>DESBROCE</t>
  </si>
  <si>
    <t>MEDICION DE TERRENO</t>
  </si>
  <si>
    <t>Operativo</t>
  </si>
  <si>
    <t>TAPADA DE DRENAJES</t>
  </si>
  <si>
    <t>TRANSPORTE DE FRUTA COSECHADA</t>
  </si>
  <si>
    <t>RECUPERACIÓN DE TUBOS</t>
  </si>
  <si>
    <t>DESBROCE DE DESCARTE DE SEMILLA</t>
  </si>
  <si>
    <t>LAVADO DE TANQUES Y MANTENIMIENTO DE STAR</t>
  </si>
  <si>
    <t>TRANSPORTE DE INSUMOS</t>
  </si>
  <si>
    <t>TRANSPORTE DE RESIDUOS Y BASURA EN PREPARACIÓN</t>
  </si>
  <si>
    <t>TRANSPORTE DE BINES CON FRUTA DESCARTE</t>
  </si>
  <si>
    <t>TRANSPORTE DE RESIDUOS Y BASURA EN PREPARACION</t>
  </si>
  <si>
    <t>TRANSPORTE DE COSECHADORA</t>
  </si>
  <si>
    <t>TRANSPORTE DE AGUA PARA COMEDORES</t>
  </si>
  <si>
    <t>TRANSPORTE DE RESIDUOS Y BASURA</t>
  </si>
  <si>
    <t>MANTENIMIENTO DE BOQUETES</t>
  </si>
  <si>
    <t>RECOLECCIÓN DE BASURAS (VÍAS/LOTES) MAQUINARIA</t>
  </si>
  <si>
    <t>DRENAJE RECOLECTOR GUÍA</t>
  </si>
  <si>
    <t>TRANSPORTE DE SEMILLA EN CAMIÓN</t>
  </si>
  <si>
    <t>TRANSPORTE DE FRUTA EN CAMIÓN</t>
  </si>
  <si>
    <t>APOYO EN TALLER</t>
  </si>
  <si>
    <t>Mantenimiento</t>
  </si>
  <si>
    <t>T - muerto</t>
  </si>
  <si>
    <t>LABOR CULTURAL- OPERADOR</t>
  </si>
  <si>
    <t>DERRIBA DE ARBOLES RETRO</t>
  </si>
  <si>
    <t>CONSTRUCCIÓN DE DRENAJE RECOLECTOR CON RETRO</t>
  </si>
  <si>
    <t>CONSTRUCCIÓN DE DRENAJES ESPINAS CON RETRO</t>
  </si>
  <si>
    <t>ENCAMADO DOBLE CON RETRO</t>
  </si>
  <si>
    <t>MANTENIMIENTO DE VÍAS CON BULLDOZER</t>
  </si>
  <si>
    <t>REPARACIÓN DE PUENTES CON PLUMA</t>
  </si>
  <si>
    <t>TAPADA DE DRENAJES CON CUCHILLA</t>
  </si>
  <si>
    <t>RECUPERACIÓN DE TUBOS CON PLUMA</t>
  </si>
  <si>
    <t>CONSTRUCCIÓN DE DRENAJE SECUNDARIO</t>
  </si>
  <si>
    <t>RASTRA PARA INCORPORAR</t>
  </si>
  <si>
    <t>SUBSUELO PROFUNDO</t>
  </si>
  <si>
    <t>RASTRA ARADO</t>
  </si>
  <si>
    <t>RECAVA DE DRENAJES SECUNDARIOS</t>
  </si>
  <si>
    <t>REGADA DE SUELOS DE LA CONSTRUCCIÓN DE DRENAJES 1ARIOS</t>
  </si>
  <si>
    <t>REGADA DE SUELOS DE LAS RECAVAS DE 1ARIOS</t>
  </si>
  <si>
    <t>REGADA DE SUELOS DE LAS RECAVAS DE 2ARIOS</t>
  </si>
  <si>
    <t>CARGUE Y DESCARGUE DE TUBOS</t>
  </si>
  <si>
    <t>CARGUE Y DESCARGUE DE TUBOS EN CIVILIZACIÓN</t>
  </si>
  <si>
    <t>TRANSPORTE DE TUBOS EN CIVILIZACIÓN</t>
  </si>
  <si>
    <t>REGADA DE SUELOS DE LA CONSTRUCCIÓN DE DRENAJES  2ARIOS</t>
  </si>
  <si>
    <t>NIVELACIÓN DE TERRENO CON TRADILLA</t>
  </si>
  <si>
    <t>ESCOLTA</t>
  </si>
  <si>
    <t>T - disponibilidad</t>
  </si>
  <si>
    <t>MAQUINA VARADA EN TALLER</t>
  </si>
  <si>
    <t>ESPERA DE SERVICIO EN CAMPO</t>
  </si>
  <si>
    <t>PARADO POR REPARACIÓN </t>
  </si>
  <si>
    <t>MAQUINA EN MANTENIMIENTO PROGRAMADO</t>
  </si>
  <si>
    <t>MAQUINARIA VARADA EN EL CAMPO</t>
  </si>
  <si>
    <t>EQUIPO O IMPLEMENTO VARADO HACIA TALLER</t>
  </si>
  <si>
    <t>CAMBIO DE IMPLEMENTO</t>
  </si>
  <si>
    <t>PARADA POR CALIBRACIÓN</t>
  </si>
  <si>
    <t>PARADA POR TERMINACIÓN DE LABORES</t>
  </si>
  <si>
    <t>EQUIPO PARADO POR ACCIDENTE</t>
  </si>
  <si>
    <t>PARADA POR LLUVIA Y HUMEDAD</t>
  </si>
  <si>
    <t>ESPERANDO ABASTECER OTRO EQUIPO</t>
  </si>
  <si>
    <t>LAVADO DE TRACTOR O IMPLEMENTO</t>
  </si>
  <si>
    <t>FALTA DE COMBUSTIBLE</t>
  </si>
  <si>
    <t>FALTA DE OPERARIO</t>
  </si>
  <si>
    <t>ALIMENTACIÓN</t>
  </si>
  <si>
    <t>REVISIÓN PREVIA DEL EQUIPO E IMPLEMENTO</t>
  </si>
  <si>
    <t>ESPERA DE TRANSPORTE CAMA BAJA</t>
  </si>
  <si>
    <t>PARADA POR REUNIÓN O CAPACITACIÓN DEL OPERADOR</t>
  </si>
  <si>
    <t>ESPERA DE CARGUE O DESCARGUE</t>
  </si>
  <si>
    <t>MAQUINA PEGADA EN ESPERA</t>
  </si>
  <si>
    <t>ESPERANDO SER ABASTECIDO EN CAMPO</t>
  </si>
  <si>
    <t>PARADA POR FALTA DE ÁREA</t>
  </si>
  <si>
    <t>DESPLAZAMIENTOS</t>
  </si>
  <si>
    <t>PARADA POR FALTA DE INSTRUCCIONES</t>
  </si>
  <si>
    <t>EQUIPO DISPONIBLE EN PATIO</t>
  </si>
  <si>
    <t>MANTENIMIENTO DE INSTALACIONES</t>
  </si>
  <si>
    <t>TRANSPORTE DE COMBUSTIBLE</t>
  </si>
  <si>
    <t>ABASTECIMIENTO DE AGUA PARA COMEDORES</t>
  </si>
  <si>
    <t>TANQUEO (ACPM/GASOLINA)</t>
  </si>
  <si>
    <t>TRANSPORTE DE PERSONAL</t>
  </si>
  <si>
    <t>HALADA TRACTOR</t>
  </si>
  <si>
    <t>TRANSPORTE DE MATERIALES </t>
  </si>
  <si>
    <t>TRANSPORTE DE COSTALES</t>
  </si>
  <si>
    <t>SUCCIONADA DE AGUA EN TANQUES</t>
  </si>
  <si>
    <t>TRANSPORTE Y LAVADO DE BINES</t>
  </si>
  <si>
    <t>TRANSPORTE EN CAMA BAJA</t>
  </si>
  <si>
    <t>PRUEBAS DE EQUIPO E IMPLEMENTO</t>
  </si>
  <si>
    <t>ENGRASE DE MAQUINA O IMPLEMENTO</t>
  </si>
  <si>
    <t>ESPERA DE SERVICIO EN TALLER</t>
  </si>
  <si>
    <t>PARADA POR FALTA DE BINES</t>
  </si>
  <si>
    <t>PARO</t>
  </si>
  <si>
    <t>PARADA POR MONTACARGA VARADO</t>
  </si>
  <si>
    <t>LLENADO DE TANQUETA EN LA SEDE</t>
  </si>
  <si>
    <t>ESPERANDO SER ABASTECIDO EN LA SEDE</t>
  </si>
  <si>
    <t>CAMBIO DE TURNO (DESPLAZAMIENTO Y ENTREGA)</t>
  </si>
  <si>
    <t>ESPERA DE CARGUE EN CAMPO</t>
  </si>
  <si>
    <t>ESPERA DE CAMBIO DE BINES</t>
  </si>
  <si>
    <t>TRANSPORTE Y CARGUE DE COSECHA MECANICA</t>
  </si>
  <si>
    <t>AJUSTE STANDBY</t>
  </si>
  <si>
    <t>ESPERA DE CAMION</t>
  </si>
  <si>
    <t>RALENTI</t>
  </si>
  <si>
    <t xml:space="preserve">TAPADA DE SEGUNDARIO </t>
  </si>
  <si>
    <t>LLENADO DE BOOM</t>
  </si>
  <si>
    <t>DESAGUE DE LOTE</t>
  </si>
  <si>
    <t xml:space="preserve">ENCALADO </t>
  </si>
  <si>
    <t>ABASTECIMIENTO DE CAL</t>
  </si>
  <si>
    <t>ESPERA DE ESCOLTA</t>
  </si>
  <si>
    <t xml:space="preserve">RIEGO </t>
  </si>
  <si>
    <t>SPRAY BOOM VARADO</t>
  </si>
  <si>
    <t>NOVEDAD CEDULAS</t>
  </si>
  <si>
    <t>BOMBA DE MESCLADO VARADA</t>
  </si>
  <si>
    <t>ESPERA DE DESPACHO DE INSUMOS</t>
  </si>
  <si>
    <t xml:space="preserve">ESPERA DE CARGUE Y DESCARGE DE INSUMOS </t>
  </si>
  <si>
    <t>Codigo</t>
  </si>
  <si>
    <t>Implementos</t>
  </si>
  <si>
    <t>IA-01</t>
  </si>
  <si>
    <t>RASTRA ROMPEDORA</t>
  </si>
  <si>
    <t>IA-02</t>
  </si>
  <si>
    <t>IA-03</t>
  </si>
  <si>
    <t>IA-04</t>
  </si>
  <si>
    <t>IA-05</t>
  </si>
  <si>
    <t>IA-06</t>
  </si>
  <si>
    <t>ENCAMADORA</t>
  </si>
  <si>
    <t>IA-07</t>
  </si>
  <si>
    <t>IA-08</t>
  </si>
  <si>
    <t>SUBSOLADOR</t>
  </si>
  <si>
    <t>IA-09</t>
  </si>
  <si>
    <t>IA-10</t>
  </si>
  <si>
    <t>ZANJADORA</t>
  </si>
  <si>
    <t>IA-11</t>
  </si>
  <si>
    <t>IA-12</t>
  </si>
  <si>
    <t>CARRETA</t>
  </si>
  <si>
    <t>IA-13</t>
  </si>
  <si>
    <t>IA-14</t>
  </si>
  <si>
    <t>BOOM SPRAYER</t>
  </si>
  <si>
    <t>IA-15</t>
  </si>
  <si>
    <t>PALA TRASERA</t>
  </si>
  <si>
    <t>IA-16</t>
  </si>
  <si>
    <t>IA-17</t>
  </si>
  <si>
    <t>BOMBA ESTACIONARIA</t>
  </si>
  <si>
    <t>IA-18</t>
  </si>
  <si>
    <t>TANQUETA ABASTECEDOR</t>
  </si>
  <si>
    <t>IA-19</t>
  </si>
  <si>
    <t>CARRETA DE SEMILLA</t>
  </si>
  <si>
    <t>IA-20</t>
  </si>
  <si>
    <t>CHASIS DE COSECHA</t>
  </si>
  <si>
    <t>IA-21</t>
  </si>
  <si>
    <t>IA-22</t>
  </si>
  <si>
    <t>IA-23</t>
  </si>
  <si>
    <t>COSECHADORA</t>
  </si>
  <si>
    <t>IA-24</t>
  </si>
  <si>
    <t>CHASIS</t>
  </si>
  <si>
    <t>IA-25</t>
  </si>
  <si>
    <t>STROLLER</t>
  </si>
  <si>
    <t>IA-26</t>
  </si>
  <si>
    <t>CORTA MALEZA TA</t>
  </si>
  <si>
    <t>IA-27</t>
  </si>
  <si>
    <t>CARRETA/PLATAFORMA</t>
  </si>
  <si>
    <t>IA-28</t>
  </si>
  <si>
    <t>BOOM SPRAYER 2</t>
  </si>
  <si>
    <t>IA-29</t>
  </si>
  <si>
    <t>IA-30</t>
  </si>
  <si>
    <t>IA-31</t>
  </si>
  <si>
    <t>IA-32</t>
  </si>
  <si>
    <t>IA-33</t>
  </si>
  <si>
    <t>IA-34</t>
  </si>
  <si>
    <t>TRENCILLO</t>
  </si>
  <si>
    <t>IA-35</t>
  </si>
  <si>
    <t>DESBROZADORA</t>
  </si>
  <si>
    <t>IA-36</t>
  </si>
  <si>
    <t>SURQUIADOR</t>
  </si>
  <si>
    <t>IA-37</t>
  </si>
  <si>
    <t>IA-38</t>
  </si>
  <si>
    <t>RASTRILLO PARA BASURA</t>
  </si>
  <si>
    <t>IA-39</t>
  </si>
  <si>
    <t>TANQUETA DE ABASTO</t>
  </si>
  <si>
    <t>IA-40</t>
  </si>
  <si>
    <t>CARRETA PARA BIN 5TA RUEDA</t>
  </si>
  <si>
    <t>IA-41</t>
  </si>
  <si>
    <t>IA-42</t>
  </si>
  <si>
    <t>PLUMA</t>
  </si>
  <si>
    <t>IA-43</t>
  </si>
  <si>
    <t>PALA HIDRAULICA</t>
  </si>
  <si>
    <t>IA-44</t>
  </si>
  <si>
    <t>IA-45</t>
  </si>
  <si>
    <t>SUBSOLADOR/CINCEL DE TRES PUNTAS</t>
  </si>
  <si>
    <t>IA-46</t>
  </si>
  <si>
    <t>PLATAFORMA DE CARGA</t>
  </si>
  <si>
    <t>IA-47</t>
  </si>
  <si>
    <t>IA-48</t>
  </si>
  <si>
    <t>DESBROZADORA (CUCHILLAS)</t>
  </si>
  <si>
    <t>IA-49</t>
  </si>
  <si>
    <t>IA-50</t>
  </si>
  <si>
    <t>TANQUETA ABASTECIMIENTO</t>
  </si>
  <si>
    <t>IA-51</t>
  </si>
  <si>
    <t>ZANAJADORA DONDI</t>
  </si>
  <si>
    <t>IA-52</t>
  </si>
  <si>
    <t>TANQUETA DE ABASTECIMIENTO</t>
  </si>
  <si>
    <t>IA-53</t>
  </si>
  <si>
    <t>BOOM SPRAYER 3</t>
  </si>
  <si>
    <t>IA-54</t>
  </si>
  <si>
    <t>MOTOBOMBA</t>
  </si>
  <si>
    <t>IA-55</t>
  </si>
  <si>
    <t>IA-56</t>
  </si>
  <si>
    <t>IA-57</t>
  </si>
  <si>
    <t>IA-60</t>
  </si>
  <si>
    <t>IA-61</t>
  </si>
  <si>
    <t>IA-62</t>
  </si>
  <si>
    <t>IA-63</t>
  </si>
  <si>
    <t>IA-64</t>
  </si>
  <si>
    <t>BOOM</t>
  </si>
  <si>
    <t>IA-65</t>
  </si>
  <si>
    <t>IA-66</t>
  </si>
  <si>
    <t>TANQUETA</t>
  </si>
  <si>
    <t>IA-67</t>
  </si>
  <si>
    <t>IA-58</t>
  </si>
  <si>
    <t>IA-59</t>
  </si>
  <si>
    <t>IA-68</t>
  </si>
  <si>
    <t>IA-69</t>
  </si>
  <si>
    <t>INSTRUCTURA BOMBA ESTACIONARIA</t>
  </si>
  <si>
    <t>IA-70</t>
  </si>
  <si>
    <t>IA-71</t>
  </si>
  <si>
    <t>ENCALADORA</t>
  </si>
  <si>
    <t>IA-72</t>
  </si>
  <si>
    <t>CARRETA DE SEMILLA 4 RUEDAS</t>
  </si>
  <si>
    <t>IA-73</t>
  </si>
  <si>
    <t>PALA CUCHILLA</t>
  </si>
  <si>
    <t>IA-74</t>
  </si>
  <si>
    <t>RASTRA GRANDE</t>
  </si>
  <si>
    <t>IA-75</t>
  </si>
  <si>
    <t>CARRETA DE VOLTEO</t>
  </si>
  <si>
    <t>IA-76</t>
  </si>
  <si>
    <t>VIBRO COMPACTADOR</t>
  </si>
  <si>
    <t>IA-77</t>
  </si>
  <si>
    <t>SUBSUELO</t>
  </si>
  <si>
    <t>IA-78</t>
  </si>
  <si>
    <t>DONDY</t>
  </si>
  <si>
    <t>IA-79</t>
  </si>
  <si>
    <t>CHASIS CARRETA PARA BIN</t>
  </si>
  <si>
    <t>IA-80</t>
  </si>
  <si>
    <t xml:space="preserve">PLANTA </t>
  </si>
  <si>
    <t>IA-81</t>
  </si>
  <si>
    <t>IA-82</t>
  </si>
  <si>
    <t xml:space="preserve">BOOM </t>
  </si>
  <si>
    <t>METROS</t>
  </si>
  <si>
    <t>HAS</t>
  </si>
  <si>
    <t>BULTOS</t>
  </si>
  <si>
    <t>UNIDADES</t>
  </si>
  <si>
    <t>VÍA VEREDAL</t>
  </si>
  <si>
    <t>UNIDAD</t>
  </si>
  <si>
    <t>TALLER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</si>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</sst>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  <charset val="1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2"/>
      <color theme="1"/>
      <name val="Aptos Narrow"/>
      <family val="2"/>
      <scheme val="minor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9D18E"/>
        <bgColor rgb="FFC5E0B4"/>
      </patternFill>
    </fill>
    <fill>
      <patternFill patternType="solid">
        <fgColor theme="0"/>
        <bgColor rgb="FFFFF2CC"/>
      </patternFill>
    </fill>
    <fill>
      <patternFill patternType="solid">
        <fgColor rgb="FFFFFFFF"/>
        <bgColor rgb="FFFFF2CC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/>
    <xf numFmtId="0" fontId="2" fillId="0" borderId="4" xfId="0" applyFont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3" borderId="2" xfId="0" applyFont="1" applyFill="1" applyBorder="1" applyAlignment="1">
      <alignment horizontal="center" vertical="center" wrapText="1" readingOrder="1"/>
    </xf>
    <xf numFmtId="2" fontId="16" fillId="4" borderId="2" xfId="0" applyNumberFormat="1" applyFont="1" applyFill="1" applyBorder="1" applyAlignment="1">
      <alignment horizontal="center" vertical="center" wrapText="1" readingOrder="1"/>
    </xf>
    <xf numFmtId="0" fontId="17" fillId="3" borderId="2" xfId="0" applyFont="1" applyFill="1" applyBorder="1" applyAlignment="1">
      <alignment horizontal="center" vertical="center" wrapText="1" readingOrder="1"/>
    </xf>
    <xf numFmtId="2" fontId="18" fillId="4" borderId="2" xfId="0" applyNumberFormat="1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2" fontId="2" fillId="4" borderId="2" xfId="0" applyNumberFormat="1" applyFont="1" applyFill="1" applyBorder="1" applyAlignment="1">
      <alignment horizontal="center" vertical="center" wrapText="1" readingOrder="1"/>
    </xf>
    <xf numFmtId="0" fontId="19" fillId="3" borderId="2" xfId="0" applyFont="1" applyFill="1" applyBorder="1" applyAlignment="1">
      <alignment horizontal="center" vertical="center" wrapText="1" readingOrder="1"/>
    </xf>
    <xf numFmtId="2" fontId="20" fillId="4" borderId="2" xfId="0" applyNumberFormat="1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17" fillId="3" borderId="13" xfId="0" applyFont="1" applyFill="1" applyBorder="1" applyAlignment="1">
      <alignment horizontal="center" vertical="center" wrapText="1" readingOrder="1"/>
    </xf>
    <xf numFmtId="2" fontId="18" fillId="4" borderId="13" xfId="0" applyNumberFormat="1" applyFont="1" applyFill="1" applyBorder="1" applyAlignment="1">
      <alignment horizontal="center" vertical="center" wrapText="1" readingOrder="1"/>
    </xf>
    <xf numFmtId="0" fontId="3" fillId="0" borderId="14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left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fill>
        <patternFill patternType="solid">
          <fgColor rgb="FFFFF2CC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hair">
          <color indexed="64"/>
        </right>
        <top style="hair">
          <color indexed="64"/>
        </top>
      </border>
    </dxf>
    <dxf>
      <font>
        <strike val="0"/>
        <outline val="0"/>
        <shadow val="0"/>
        <u val="none"/>
        <vertAlign val="baseline"/>
        <sz val="12"/>
      </font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4_FUENTES_GLOBALES/AREAS_POR_DISTRITO.xlsx" TargetMode="External"/><Relationship Id="rId2" Type="http://schemas.openxmlformats.org/officeDocument/2006/relationships/externalLinkPath" Target="https://agricolaguapa-my.sharepoint.com/personal/sindy_urrutia_guapa_com_co/Documents/ANALISTA_OM/04_FUENTES_GLOBALES/AREAS_POR_DISTRITO.xlsx" TargetMode="External"/><Relationship Id="rId1" Type="http://schemas.openxmlformats.org/officeDocument/2006/relationships/externalLinkPath" Target="/personal/sindy_urrutia_guapa_com_co/Documents/ANALISTA_OM/04_FUENTES_GLOBALES/AREAS_POR_DISTRI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status"/>
      <sheetName val="Lote_distrito"/>
      <sheetName val="LOTES"/>
      <sheetName val="Hoja2"/>
      <sheetName val="Estatus (2)"/>
      <sheetName val="Hoja1"/>
      <sheetName val="Hoja3"/>
    </sheetNames>
    <sheetDataSet>
      <sheetData sheetId="0"/>
      <sheetData sheetId="1">
        <row r="1">
          <cell r="A1" t="str">
            <v>lote</v>
          </cell>
          <cell r="B1" t="str">
            <v>Distrito</v>
          </cell>
          <cell r="C1" t="str">
            <v>Finca</v>
          </cell>
        </row>
        <row r="2">
          <cell r="A2">
            <v>1</v>
          </cell>
          <cell r="B2" t="str">
            <v>Distrito 1</v>
          </cell>
          <cell r="C2" t="str">
            <v>La Fé</v>
          </cell>
        </row>
        <row r="3">
          <cell r="A3">
            <v>2</v>
          </cell>
          <cell r="B3" t="str">
            <v>Distrito 1</v>
          </cell>
          <cell r="C3" t="str">
            <v>La Fé</v>
          </cell>
        </row>
        <row r="4">
          <cell r="A4">
            <v>3</v>
          </cell>
          <cell r="B4" t="str">
            <v>Distrito 1</v>
          </cell>
          <cell r="C4" t="str">
            <v>La Fé</v>
          </cell>
        </row>
        <row r="5">
          <cell r="A5">
            <v>4</v>
          </cell>
          <cell r="B5" t="str">
            <v>Distrito 1</v>
          </cell>
          <cell r="C5" t="str">
            <v>La Fé</v>
          </cell>
        </row>
        <row r="6">
          <cell r="A6">
            <v>5</v>
          </cell>
          <cell r="B6" t="str">
            <v>Distrito 1</v>
          </cell>
          <cell r="C6" t="str">
            <v>La Fé</v>
          </cell>
        </row>
        <row r="7">
          <cell r="A7">
            <v>6</v>
          </cell>
          <cell r="B7" t="str">
            <v>Distrito 1</v>
          </cell>
          <cell r="C7" t="str">
            <v>La Fé</v>
          </cell>
        </row>
        <row r="8">
          <cell r="A8">
            <v>7</v>
          </cell>
          <cell r="B8" t="str">
            <v>Distrito 1</v>
          </cell>
          <cell r="C8" t="str">
            <v>La Fé</v>
          </cell>
        </row>
        <row r="9">
          <cell r="A9">
            <v>8</v>
          </cell>
          <cell r="B9" t="str">
            <v>Distrito 1</v>
          </cell>
          <cell r="C9" t="str">
            <v>La Fé</v>
          </cell>
        </row>
        <row r="10">
          <cell r="A10">
            <v>9</v>
          </cell>
          <cell r="B10" t="str">
            <v>Distrito 1</v>
          </cell>
          <cell r="C10" t="str">
            <v>La Fé</v>
          </cell>
        </row>
        <row r="11">
          <cell r="A11">
            <v>10</v>
          </cell>
          <cell r="B11" t="str">
            <v>Distrito 1</v>
          </cell>
          <cell r="C11" t="str">
            <v>La Fé</v>
          </cell>
        </row>
        <row r="12">
          <cell r="A12">
            <v>11</v>
          </cell>
          <cell r="B12" t="str">
            <v>Distrito 1</v>
          </cell>
          <cell r="C12" t="str">
            <v>La Fé</v>
          </cell>
        </row>
        <row r="13">
          <cell r="A13">
            <v>12</v>
          </cell>
          <cell r="B13" t="str">
            <v>Distrito 1</v>
          </cell>
          <cell r="C13" t="str">
            <v>La Fé</v>
          </cell>
        </row>
        <row r="14">
          <cell r="A14">
            <v>13</v>
          </cell>
          <cell r="B14" t="str">
            <v>Distrito 1</v>
          </cell>
          <cell r="C14" t="str">
            <v>La Fé</v>
          </cell>
        </row>
        <row r="15">
          <cell r="A15">
            <v>14</v>
          </cell>
          <cell r="B15" t="str">
            <v>Distrito 1</v>
          </cell>
          <cell r="C15" t="str">
            <v>La Fé</v>
          </cell>
        </row>
        <row r="16">
          <cell r="A16">
            <v>15</v>
          </cell>
          <cell r="B16" t="str">
            <v>Distrito 1</v>
          </cell>
          <cell r="C16" t="str">
            <v>La Fé</v>
          </cell>
        </row>
        <row r="17">
          <cell r="A17">
            <v>16</v>
          </cell>
          <cell r="B17" t="str">
            <v>Distrito 1</v>
          </cell>
          <cell r="C17" t="str">
            <v>La Fé</v>
          </cell>
        </row>
        <row r="18">
          <cell r="A18">
            <v>17</v>
          </cell>
          <cell r="B18" t="str">
            <v>Distrito 1</v>
          </cell>
          <cell r="C18" t="str">
            <v>La Fé</v>
          </cell>
        </row>
        <row r="19">
          <cell r="A19">
            <v>18</v>
          </cell>
          <cell r="B19" t="str">
            <v>Distrito 1</v>
          </cell>
          <cell r="C19" t="str">
            <v>La Fé</v>
          </cell>
        </row>
        <row r="20">
          <cell r="A20">
            <v>19</v>
          </cell>
          <cell r="B20" t="str">
            <v>Distrito 1</v>
          </cell>
          <cell r="C20" t="str">
            <v>La Fé</v>
          </cell>
        </row>
        <row r="21">
          <cell r="A21">
            <v>20</v>
          </cell>
          <cell r="B21" t="str">
            <v>Distrito 1</v>
          </cell>
          <cell r="C21" t="str">
            <v>La Fé</v>
          </cell>
        </row>
        <row r="22">
          <cell r="A22">
            <v>21</v>
          </cell>
          <cell r="B22" t="str">
            <v>Distrito 1</v>
          </cell>
          <cell r="C22" t="str">
            <v>La Sultana</v>
          </cell>
        </row>
        <row r="23">
          <cell r="A23">
            <v>22</v>
          </cell>
          <cell r="B23" t="str">
            <v>Distrito 1</v>
          </cell>
          <cell r="C23" t="str">
            <v>La Sultana</v>
          </cell>
        </row>
        <row r="24">
          <cell r="A24">
            <v>23</v>
          </cell>
          <cell r="B24" t="str">
            <v>Distrito 1</v>
          </cell>
          <cell r="C24" t="str">
            <v>La Sultana</v>
          </cell>
        </row>
        <row r="25">
          <cell r="A25">
            <v>24</v>
          </cell>
          <cell r="B25" t="str">
            <v>Distrito 1</v>
          </cell>
          <cell r="C25" t="str">
            <v>La Sultana</v>
          </cell>
        </row>
        <row r="26">
          <cell r="A26">
            <v>25</v>
          </cell>
          <cell r="B26" t="str">
            <v>Distrito 1</v>
          </cell>
          <cell r="C26" t="str">
            <v>La Sultana</v>
          </cell>
        </row>
        <row r="27">
          <cell r="A27">
            <v>26</v>
          </cell>
          <cell r="B27" t="str">
            <v>Distrito 1</v>
          </cell>
          <cell r="C27" t="str">
            <v>La Sultana</v>
          </cell>
        </row>
        <row r="28">
          <cell r="A28">
            <v>27</v>
          </cell>
          <cell r="B28" t="str">
            <v>Distrito 1</v>
          </cell>
          <cell r="C28" t="str">
            <v>La Sultana</v>
          </cell>
        </row>
        <row r="29">
          <cell r="A29">
            <v>28</v>
          </cell>
          <cell r="B29" t="str">
            <v>Distrito 2</v>
          </cell>
          <cell r="C29" t="str">
            <v>Jamaica</v>
          </cell>
        </row>
        <row r="30">
          <cell r="A30">
            <v>29</v>
          </cell>
          <cell r="B30" t="str">
            <v>Distrito 2</v>
          </cell>
          <cell r="C30" t="str">
            <v>Jamaica</v>
          </cell>
        </row>
        <row r="31">
          <cell r="A31">
            <v>30</v>
          </cell>
          <cell r="B31" t="str">
            <v>Distrito 2</v>
          </cell>
          <cell r="C31" t="str">
            <v>Jamaica</v>
          </cell>
        </row>
        <row r="32">
          <cell r="A32">
            <v>31</v>
          </cell>
          <cell r="B32" t="str">
            <v>Distrito 2</v>
          </cell>
          <cell r="C32" t="str">
            <v>Jamaica</v>
          </cell>
        </row>
        <row r="33">
          <cell r="A33">
            <v>32</v>
          </cell>
          <cell r="B33" t="str">
            <v>Distrito 2</v>
          </cell>
          <cell r="C33" t="str">
            <v>Jamaica</v>
          </cell>
        </row>
        <row r="34">
          <cell r="A34">
            <v>33</v>
          </cell>
          <cell r="B34" t="str">
            <v>Distrito 2</v>
          </cell>
          <cell r="C34" t="str">
            <v>Jamaica</v>
          </cell>
        </row>
        <row r="35">
          <cell r="A35">
            <v>34</v>
          </cell>
          <cell r="B35" t="str">
            <v>Distrito 2</v>
          </cell>
          <cell r="C35" t="str">
            <v>Jamaica</v>
          </cell>
        </row>
        <row r="36">
          <cell r="A36">
            <v>35</v>
          </cell>
          <cell r="B36" t="str">
            <v>Distrito 2</v>
          </cell>
          <cell r="C36" t="str">
            <v>Jamaica</v>
          </cell>
        </row>
        <row r="37">
          <cell r="A37">
            <v>36</v>
          </cell>
          <cell r="B37" t="str">
            <v>Distrito 2</v>
          </cell>
          <cell r="C37" t="str">
            <v>Jamaica</v>
          </cell>
        </row>
        <row r="38">
          <cell r="A38">
            <v>37</v>
          </cell>
          <cell r="B38" t="str">
            <v>Distrito 2</v>
          </cell>
          <cell r="C38" t="str">
            <v>Jamaica</v>
          </cell>
        </row>
        <row r="39">
          <cell r="A39">
            <v>38</v>
          </cell>
          <cell r="B39" t="str">
            <v>Distrito 2</v>
          </cell>
          <cell r="C39" t="str">
            <v>Jamaica</v>
          </cell>
        </row>
        <row r="40">
          <cell r="A40">
            <v>39</v>
          </cell>
          <cell r="B40" t="str">
            <v>Distrito 2</v>
          </cell>
          <cell r="C40" t="str">
            <v>Jamaica</v>
          </cell>
        </row>
        <row r="41">
          <cell r="A41">
            <v>40</v>
          </cell>
          <cell r="B41" t="str">
            <v>Distrito 3</v>
          </cell>
          <cell r="C41" t="str">
            <v>Egipto</v>
          </cell>
        </row>
        <row r="42">
          <cell r="A42">
            <v>41</v>
          </cell>
          <cell r="B42" t="str">
            <v>Distrito 3</v>
          </cell>
          <cell r="C42" t="str">
            <v>Egipto</v>
          </cell>
        </row>
        <row r="43">
          <cell r="A43">
            <v>42</v>
          </cell>
          <cell r="B43" t="str">
            <v>Distrito 3</v>
          </cell>
          <cell r="C43" t="str">
            <v>Egipto</v>
          </cell>
        </row>
        <row r="44">
          <cell r="A44">
            <v>43</v>
          </cell>
          <cell r="B44" t="str">
            <v>Distrito 3</v>
          </cell>
          <cell r="C44" t="str">
            <v>Egipto</v>
          </cell>
        </row>
        <row r="45">
          <cell r="A45">
            <v>44</v>
          </cell>
          <cell r="B45" t="str">
            <v>Distrito 3</v>
          </cell>
          <cell r="C45" t="str">
            <v>Egipto</v>
          </cell>
        </row>
        <row r="46">
          <cell r="A46">
            <v>45</v>
          </cell>
          <cell r="B46" t="str">
            <v>Distrito 3</v>
          </cell>
          <cell r="C46" t="str">
            <v>Egipto</v>
          </cell>
        </row>
        <row r="47">
          <cell r="A47">
            <v>46</v>
          </cell>
          <cell r="B47" t="str">
            <v>Distrito 3</v>
          </cell>
          <cell r="C47" t="str">
            <v>Egipto</v>
          </cell>
        </row>
        <row r="48">
          <cell r="A48">
            <v>47</v>
          </cell>
          <cell r="B48" t="str">
            <v>Distrito 3</v>
          </cell>
          <cell r="C48" t="str">
            <v>Egipto</v>
          </cell>
        </row>
        <row r="49">
          <cell r="A49">
            <v>48</v>
          </cell>
          <cell r="B49" t="str">
            <v>Distrito 3</v>
          </cell>
          <cell r="C49" t="str">
            <v>Egipto</v>
          </cell>
        </row>
        <row r="50">
          <cell r="A50">
            <v>49</v>
          </cell>
          <cell r="B50" t="str">
            <v>Distrito 3</v>
          </cell>
          <cell r="C50" t="str">
            <v>Egipto</v>
          </cell>
        </row>
        <row r="51">
          <cell r="A51">
            <v>50</v>
          </cell>
          <cell r="B51" t="str">
            <v>Distrito 3</v>
          </cell>
          <cell r="C51" t="str">
            <v>Egipto</v>
          </cell>
        </row>
        <row r="52">
          <cell r="A52">
            <v>51</v>
          </cell>
          <cell r="B52" t="str">
            <v>Distrito 3</v>
          </cell>
          <cell r="C52" t="str">
            <v>Egipto</v>
          </cell>
        </row>
        <row r="53">
          <cell r="A53">
            <v>52</v>
          </cell>
          <cell r="B53" t="str">
            <v>Distrito 3</v>
          </cell>
          <cell r="C53" t="str">
            <v>Egipto</v>
          </cell>
        </row>
        <row r="54">
          <cell r="A54">
            <v>53</v>
          </cell>
          <cell r="B54" t="str">
            <v>Distrito 3</v>
          </cell>
          <cell r="C54" t="str">
            <v>Egipto</v>
          </cell>
        </row>
        <row r="55">
          <cell r="A55">
            <v>54</v>
          </cell>
          <cell r="B55" t="str">
            <v>Distrito 3</v>
          </cell>
          <cell r="C55" t="str">
            <v>Egipto</v>
          </cell>
        </row>
        <row r="56">
          <cell r="A56">
            <v>55</v>
          </cell>
          <cell r="B56" t="str">
            <v>Distrito 3</v>
          </cell>
          <cell r="C56" t="str">
            <v>Egipto</v>
          </cell>
        </row>
        <row r="57">
          <cell r="A57">
            <v>56</v>
          </cell>
          <cell r="B57" t="str">
            <v>Distrito 2</v>
          </cell>
          <cell r="C57" t="str">
            <v>Las Américas</v>
          </cell>
        </row>
        <row r="58">
          <cell r="A58">
            <v>57</v>
          </cell>
          <cell r="B58" t="str">
            <v>Distrito 2</v>
          </cell>
          <cell r="C58" t="str">
            <v>Las Américas</v>
          </cell>
        </row>
        <row r="59">
          <cell r="A59">
            <v>58</v>
          </cell>
          <cell r="B59" t="str">
            <v>Distrito 2</v>
          </cell>
          <cell r="C59" t="str">
            <v>Las Américas</v>
          </cell>
        </row>
        <row r="60">
          <cell r="A60">
            <v>59</v>
          </cell>
          <cell r="B60" t="str">
            <v>Distrito 2</v>
          </cell>
          <cell r="C60" t="str">
            <v>Las Américas</v>
          </cell>
        </row>
        <row r="61">
          <cell r="A61">
            <v>60</v>
          </cell>
          <cell r="B61" t="str">
            <v>Distrito 2</v>
          </cell>
          <cell r="C61" t="str">
            <v>Las Américas</v>
          </cell>
        </row>
        <row r="62">
          <cell r="A62">
            <v>61</v>
          </cell>
          <cell r="B62" t="str">
            <v>Distrito 2</v>
          </cell>
          <cell r="C62" t="str">
            <v>Las Américas</v>
          </cell>
        </row>
        <row r="63">
          <cell r="A63">
            <v>62</v>
          </cell>
          <cell r="B63" t="str">
            <v>Distrito 2</v>
          </cell>
          <cell r="C63" t="str">
            <v>Las Américas</v>
          </cell>
        </row>
        <row r="64">
          <cell r="A64">
            <v>63</v>
          </cell>
          <cell r="B64" t="str">
            <v>Distrito 2</v>
          </cell>
          <cell r="C64" t="str">
            <v>Las Américas</v>
          </cell>
        </row>
        <row r="65">
          <cell r="A65">
            <v>64</v>
          </cell>
          <cell r="B65" t="str">
            <v>Distrito 2</v>
          </cell>
          <cell r="C65" t="str">
            <v>Las Américas</v>
          </cell>
        </row>
        <row r="66">
          <cell r="A66">
            <v>65</v>
          </cell>
          <cell r="B66" t="str">
            <v>Distrito 2</v>
          </cell>
          <cell r="C66" t="str">
            <v>Las Américas</v>
          </cell>
        </row>
        <row r="67">
          <cell r="A67">
            <v>66</v>
          </cell>
          <cell r="B67" t="str">
            <v>Distrito 3</v>
          </cell>
          <cell r="C67" t="str">
            <v>Brasil</v>
          </cell>
        </row>
        <row r="68">
          <cell r="A68">
            <v>67</v>
          </cell>
          <cell r="B68" t="str">
            <v>Distrito 2</v>
          </cell>
          <cell r="C68" t="str">
            <v>Brasil</v>
          </cell>
        </row>
        <row r="69">
          <cell r="A69">
            <v>68</v>
          </cell>
          <cell r="B69" t="str">
            <v>Distrito 3</v>
          </cell>
          <cell r="C69" t="str">
            <v>Brasil</v>
          </cell>
        </row>
        <row r="70">
          <cell r="A70">
            <v>69</v>
          </cell>
          <cell r="B70" t="str">
            <v>Distrito 2</v>
          </cell>
          <cell r="C70" t="str">
            <v>Brasil</v>
          </cell>
        </row>
        <row r="71">
          <cell r="A71">
            <v>70</v>
          </cell>
          <cell r="B71" t="str">
            <v>Distrito 2</v>
          </cell>
          <cell r="C71" t="str">
            <v>Brasil</v>
          </cell>
        </row>
        <row r="72">
          <cell r="A72">
            <v>71</v>
          </cell>
          <cell r="B72" t="str">
            <v>Distrito 2</v>
          </cell>
          <cell r="C72" t="str">
            <v>Brasil</v>
          </cell>
        </row>
        <row r="73">
          <cell r="A73">
            <v>72</v>
          </cell>
          <cell r="B73" t="str">
            <v>Distrito 3</v>
          </cell>
          <cell r="C73" t="str">
            <v>Brasil</v>
          </cell>
        </row>
        <row r="74">
          <cell r="A74">
            <v>73</v>
          </cell>
          <cell r="B74" t="str">
            <v>Distrito 3</v>
          </cell>
          <cell r="C74" t="str">
            <v>Brasil</v>
          </cell>
        </row>
        <row r="75">
          <cell r="A75">
            <v>74</v>
          </cell>
          <cell r="B75" t="str">
            <v>Distrito 3</v>
          </cell>
          <cell r="C75" t="str">
            <v>Brasil</v>
          </cell>
        </row>
        <row r="76">
          <cell r="A76">
            <v>75</v>
          </cell>
          <cell r="B76" t="str">
            <v>Distrito 2</v>
          </cell>
          <cell r="C76" t="str">
            <v>Brasil</v>
          </cell>
        </row>
        <row r="77">
          <cell r="A77">
            <v>76</v>
          </cell>
          <cell r="B77" t="str">
            <v>Distrito 3</v>
          </cell>
          <cell r="C77" t="str">
            <v>Brasil</v>
          </cell>
        </row>
        <row r="78">
          <cell r="A78">
            <v>77</v>
          </cell>
          <cell r="B78" t="str">
            <v>Distrito 3</v>
          </cell>
          <cell r="C78" t="str">
            <v>Argentina</v>
          </cell>
        </row>
        <row r="79">
          <cell r="A79">
            <v>78</v>
          </cell>
          <cell r="B79" t="str">
            <v>Distrito 3</v>
          </cell>
          <cell r="C79" t="str">
            <v>Argentina</v>
          </cell>
        </row>
        <row r="80">
          <cell r="A80">
            <v>79</v>
          </cell>
          <cell r="B80" t="str">
            <v>Distrito 3</v>
          </cell>
          <cell r="C80" t="str">
            <v>Argentina</v>
          </cell>
        </row>
        <row r="81">
          <cell r="A81">
            <v>80</v>
          </cell>
          <cell r="B81" t="str">
            <v>Distrito 3</v>
          </cell>
          <cell r="C81" t="str">
            <v>Argentina</v>
          </cell>
        </row>
        <row r="82">
          <cell r="A82">
            <v>81</v>
          </cell>
          <cell r="B82" t="str">
            <v>Distrito 3</v>
          </cell>
          <cell r="C82" t="str">
            <v>Argentina</v>
          </cell>
        </row>
        <row r="83">
          <cell r="A83">
            <v>82</v>
          </cell>
          <cell r="B83" t="str">
            <v>Distrito 3</v>
          </cell>
          <cell r="C83" t="str">
            <v>Argentina</v>
          </cell>
        </row>
        <row r="84">
          <cell r="A84">
            <v>83</v>
          </cell>
          <cell r="B84" t="str">
            <v>Distrito 3</v>
          </cell>
          <cell r="C84" t="str">
            <v>Argentina</v>
          </cell>
        </row>
        <row r="85">
          <cell r="A85">
            <v>84</v>
          </cell>
          <cell r="B85" t="str">
            <v>Distrito 3</v>
          </cell>
          <cell r="C85" t="str">
            <v>Argentina</v>
          </cell>
        </row>
        <row r="86">
          <cell r="A86">
            <v>85</v>
          </cell>
          <cell r="B86" t="str">
            <v>Distrito 3</v>
          </cell>
          <cell r="C86" t="str">
            <v>Argentina</v>
          </cell>
        </row>
        <row r="87">
          <cell r="A87">
            <v>86</v>
          </cell>
          <cell r="B87" t="str">
            <v>Distrito 3</v>
          </cell>
          <cell r="C87" t="str">
            <v>Argentina</v>
          </cell>
        </row>
        <row r="88">
          <cell r="A88">
            <v>87</v>
          </cell>
          <cell r="B88" t="str">
            <v>Distrito 3</v>
          </cell>
          <cell r="C88" t="str">
            <v>Argentina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AF490-CCD1-447E-ABBD-3E8BE158C3AE}" name="Lotes" displayName="Lotes" ref="A1:F92" totalsRowShown="0" headerRowDxfId="18" dataDxfId="16" headerRowBorderDxfId="17" tableBorderDxfId="15">
  <autoFilter ref="A1:F92" xr:uid="{EB3AF490-CCD1-447E-ABBD-3E8BE158C3AE}"/>
  <tableColumns count="6">
    <tableColumn id="1" xr3:uid="{49687FF5-E900-4726-A477-E53189320779}" name="Lote" dataDxfId="14"/>
    <tableColumn id="2" xr3:uid="{969AE128-7D20-4B7D-9FB7-EF8AA9C5AAB2}" name="Area Neta" dataDxfId="13"/>
    <tableColumn id="3" xr3:uid="{F8F7BB48-60C7-44E3-8AE6-C854AAE88232}" name="Área Efec" dataDxfId="12"/>
    <tableColumn id="4" xr3:uid="{59678F23-F985-4C61-8E3A-1510A65A6363}" name="Estado" dataDxfId="11"/>
    <tableColumn id="5" xr3:uid="{24DCA57F-4B15-4FBE-940B-5E5CB4FE3D00}" name="Finca" dataDxfId="10"/>
    <tableColumn id="6" xr3:uid="{1FC0D069-6E91-4FF7-B633-142AA2090A35}" name="Distrito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D0C723-CF7E-4C5D-8A22-F2ACB98322D1}" name="lista_equipos" displayName="lista_equipos" ref="A1:E104" totalsRowShown="0" headerRowDxfId="8">
  <autoFilter ref="A1:E104" xr:uid="{4BD0C723-CF7E-4C5D-8A22-F2ACB98322D1}"/>
  <tableColumns count="5">
    <tableColumn id="1" xr3:uid="{98DA756B-670C-4D6E-BF16-A34756CCA3F2}" name="Equipo"/>
    <tableColumn id="2" xr3:uid="{F4B75660-1AE8-40FA-B03E-A61D78BC8F74}" name="Tipo de maquina"/>
    <tableColumn id="3" xr3:uid="{11AD3DEB-9226-4C1E-84E2-EB896EDC0260}" name="Proveedor"/>
    <tableColumn id="4" xr3:uid="{E535D7D8-07B7-4B19-828A-ADDA7CE2B983}" name="ToR"/>
    <tableColumn id="5" xr3:uid="{4740C68E-50C7-4CE2-806F-2782D4DCAB9A}" name="Potenci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4A2FC2-9C6A-45A5-BB53-FF09175A8690}" name="LISTA_IMPLEMENTOS" displayName="LISTA_IMPLEMENTOS" ref="A1:B85" totalsRowShown="0" headerRowDxfId="0" headerRowBorderDxfId="4" tableBorderDxfId="5" totalsRowBorderDxfId="3">
  <autoFilter ref="A1:B85" xr:uid="{2D4A2FC2-9C6A-45A5-BB53-FF09175A8690}"/>
  <tableColumns count="2">
    <tableColumn id="1" xr3:uid="{D126F86D-976E-444F-A363-65C8A8CB5F86}" name="Implementos" dataDxfId="2"/>
    <tableColumn id="2" xr3:uid="{A56E4CDA-91BC-4506-BFE2-1F3B8400E542}" name="Descripción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FE33A6-E3CC-4A8C-87E2-5D1C7C946742}" name="Lista_operadores" displayName="Lista_operadores" ref="A1:D55" totalsRowShown="0" headerRowDxfId="7">
  <autoFilter ref="A1:D55" xr:uid="{91FE33A6-E3CC-4A8C-87E2-5D1C7C946742}"/>
  <tableColumns count="4">
    <tableColumn id="1" xr3:uid="{1C8406FC-2C08-45D1-8DDD-89B5857C4819}" name="Código" dataDxfId="6"/>
    <tableColumn id="2" xr3:uid="{7626A960-0865-4EF0-BF24-02D44FB133EB}" name="Operador"/>
    <tableColumn id="3" xr3:uid="{B12A9B53-1522-4036-ADD5-F3EA35F70001}" name="Estado"/>
    <tableColumn id="4" xr3:uid="{DE9555A4-6215-4AA9-A2E6-8C4CE9780651}" name="EMPRES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367CE-8A8F-457A-90EC-5C28C121EF98}" name="Codigos_labor" displayName="Codigos_labor" ref="A1:D146" totalsRowShown="0" headerRowDxfId="25" dataDxfId="24" tableBorderDxfId="23">
  <autoFilter ref="A1:D146" xr:uid="{CFE367CE-8A8F-457A-90EC-5C28C121EF98}"/>
  <tableColumns count="4">
    <tableColumn id="1" xr3:uid="{A135BFAD-7604-4952-881B-B8B653931DA1}" name="Codigo" dataDxfId="22"/>
    <tableColumn id="2" xr3:uid="{68224A0B-3D33-4048-B9A3-3CACD2B030AE}" name="Descripción" dataDxfId="21"/>
    <tableColumn id="3" xr3:uid="{8D4B0AF6-1E10-4B79-B2D3-B860A10B1324}" name="Clasificación" dataDxfId="20"/>
    <tableColumn id="4" xr3:uid="{4244A6ED-293D-4348-80B6-DF29278D6823}" name="Distribución" dataDxfId="1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7DF44E-86AD-48C0-8096-8BF33C4E152F}" name="Unidad" displayName="Unidad" ref="A1:A5" totalsRowShown="0">
  <autoFilter ref="A1:A5" xr:uid="{057DF44E-86AD-48C0-8096-8BF33C4E152F}"/>
  <tableColumns count="1">
    <tableColumn id="1" xr3:uid="{F4FBF847-3657-46B2-B0CE-6BF0937EEE08}" name="UNID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9C34-0E1A-498C-A29A-D89B7F2607E2}">
  <dimension ref="A1:F92"/>
  <sheetViews>
    <sheetView tabSelected="1" topLeftCell="A79" workbookViewId="0">
      <selection activeCell="I90" sqref="I90"/>
    </sheetView>
  </sheetViews>
  <sheetFormatPr baseColWidth="10" defaultRowHeight="16" x14ac:dyDescent="0.4"/>
  <cols>
    <col min="1" max="1" width="10.90625" style="17"/>
    <col min="2" max="2" width="11.81640625" style="17" customWidth="1"/>
    <col min="3" max="3" width="11.1796875" style="17" customWidth="1"/>
    <col min="4" max="4" width="10.90625" style="17"/>
    <col min="5" max="6" width="10.90625" style="26"/>
    <col min="7" max="16384" width="10.90625" style="17"/>
  </cols>
  <sheetData>
    <row r="1" spans="1:6" x14ac:dyDescent="0.4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8" t="s">
        <v>5</v>
      </c>
    </row>
    <row r="2" spans="1:6" x14ac:dyDescent="0.4">
      <c r="A2" s="18">
        <v>1</v>
      </c>
      <c r="B2" s="19">
        <v>16.940000000000001</v>
      </c>
      <c r="C2" s="19">
        <v>11.4</v>
      </c>
      <c r="D2" s="1" t="s">
        <v>6</v>
      </c>
      <c r="E2" s="6" t="str">
        <f>VLOOKUP(A2,[1]Lote_distrito!$A:$C,3,0)</f>
        <v>La Fé</v>
      </c>
      <c r="F2" s="9" t="str">
        <f>VLOOKUP(A2,[1]Lote_distrito!$A:$B,2,0)</f>
        <v>Distrito 1</v>
      </c>
    </row>
    <row r="3" spans="1:6" x14ac:dyDescent="0.4">
      <c r="A3" s="18">
        <v>2</v>
      </c>
      <c r="B3" s="19">
        <v>13.48</v>
      </c>
      <c r="C3" s="19">
        <v>8.19</v>
      </c>
      <c r="D3" s="1" t="s">
        <v>6</v>
      </c>
      <c r="E3" s="7" t="str">
        <f>VLOOKUP(A3,[1]Lote_distrito!$A:$C,3,0)</f>
        <v>La Fé</v>
      </c>
      <c r="F3" s="10" t="str">
        <f>VLOOKUP(A3,[1]Lote_distrito!$A:$B,2,0)</f>
        <v>Distrito 1</v>
      </c>
    </row>
    <row r="4" spans="1:6" x14ac:dyDescent="0.4">
      <c r="A4" s="20">
        <v>3</v>
      </c>
      <c r="B4" s="21">
        <v>20.46</v>
      </c>
      <c r="C4" s="21">
        <v>13.53</v>
      </c>
      <c r="D4" s="1" t="s">
        <v>6</v>
      </c>
      <c r="E4" s="6" t="str">
        <f>VLOOKUP(A4,[1]Lote_distrito!$A:$C,3,0)</f>
        <v>La Fé</v>
      </c>
      <c r="F4" s="9" t="str">
        <f>VLOOKUP(A4,[1]Lote_distrito!$A:$B,2,0)</f>
        <v>Distrito 1</v>
      </c>
    </row>
    <row r="5" spans="1:6" x14ac:dyDescent="0.4">
      <c r="A5" s="18">
        <v>4</v>
      </c>
      <c r="B5" s="19">
        <v>21.05</v>
      </c>
      <c r="C5" s="19">
        <v>15.52</v>
      </c>
      <c r="D5" s="1" t="s">
        <v>6</v>
      </c>
      <c r="E5" s="6" t="str">
        <f>VLOOKUP(A5,[1]Lote_distrito!$A:$C,3,0)</f>
        <v>La Fé</v>
      </c>
      <c r="F5" s="9" t="str">
        <f>VLOOKUP(A5,[1]Lote_distrito!$A:$B,2,0)</f>
        <v>Distrito 1</v>
      </c>
    </row>
    <row r="6" spans="1:6" x14ac:dyDescent="0.4">
      <c r="A6" s="18">
        <v>5</v>
      </c>
      <c r="B6" s="19">
        <v>18.82</v>
      </c>
      <c r="C6" s="19">
        <v>12.63</v>
      </c>
      <c r="D6" s="1" t="s">
        <v>6</v>
      </c>
      <c r="E6" s="6" t="str">
        <f>VLOOKUP(A6,[1]Lote_distrito!$A:$C,3,0)</f>
        <v>La Fé</v>
      </c>
      <c r="F6" s="9" t="str">
        <f>VLOOKUP(A6,[1]Lote_distrito!$A:$B,2,0)</f>
        <v>Distrito 1</v>
      </c>
    </row>
    <row r="7" spans="1:6" x14ac:dyDescent="0.4">
      <c r="A7" s="20">
        <v>6</v>
      </c>
      <c r="B7" s="21">
        <v>11.85</v>
      </c>
      <c r="C7" s="21">
        <v>6.97</v>
      </c>
      <c r="D7" s="1" t="s">
        <v>6</v>
      </c>
      <c r="E7" s="6" t="str">
        <f>VLOOKUP(A7,[1]Lote_distrito!$A:$C,3,0)</f>
        <v>La Fé</v>
      </c>
      <c r="F7" s="9" t="str">
        <f>VLOOKUP(A7,[1]Lote_distrito!$A:$B,2,0)</f>
        <v>Distrito 1</v>
      </c>
    </row>
    <row r="8" spans="1:6" x14ac:dyDescent="0.4">
      <c r="A8" s="20">
        <v>7</v>
      </c>
      <c r="B8" s="21">
        <v>12.83</v>
      </c>
      <c r="C8" s="21">
        <v>8.16</v>
      </c>
      <c r="D8" s="1" t="s">
        <v>6</v>
      </c>
      <c r="E8" s="6" t="str">
        <f>VLOOKUP(A8,[1]Lote_distrito!$A:$C,3,0)</f>
        <v>La Fé</v>
      </c>
      <c r="F8" s="9" t="str">
        <f>VLOOKUP(A8,[1]Lote_distrito!$A:$B,2,0)</f>
        <v>Distrito 1</v>
      </c>
    </row>
    <row r="9" spans="1:6" x14ac:dyDescent="0.4">
      <c r="A9" s="20">
        <v>8</v>
      </c>
      <c r="B9" s="21">
        <v>26.37</v>
      </c>
      <c r="C9" s="21">
        <v>15.36</v>
      </c>
      <c r="D9" s="1" t="s">
        <v>6</v>
      </c>
      <c r="E9" s="6" t="str">
        <f>VLOOKUP(A9,[1]Lote_distrito!$A:$C,3,0)</f>
        <v>La Fé</v>
      </c>
      <c r="F9" s="9" t="str">
        <f>VLOOKUP(A9,[1]Lote_distrito!$A:$B,2,0)</f>
        <v>Distrito 1</v>
      </c>
    </row>
    <row r="10" spans="1:6" x14ac:dyDescent="0.4">
      <c r="A10" s="18">
        <v>9</v>
      </c>
      <c r="B10" s="19">
        <v>7.46</v>
      </c>
      <c r="C10" s="19">
        <v>4.3899999999999997</v>
      </c>
      <c r="D10" s="1" t="s">
        <v>6</v>
      </c>
      <c r="E10" s="6" t="str">
        <f>VLOOKUP(A10,[1]Lote_distrito!$A:$C,3,0)</f>
        <v>La Fé</v>
      </c>
      <c r="F10" s="9" t="str">
        <f>VLOOKUP(A10,[1]Lote_distrito!$A:$B,2,0)</f>
        <v>Distrito 1</v>
      </c>
    </row>
    <row r="11" spans="1:6" x14ac:dyDescent="0.4">
      <c r="A11" s="22">
        <v>10</v>
      </c>
      <c r="B11" s="23">
        <v>14.65</v>
      </c>
      <c r="C11" s="23">
        <v>8.85</v>
      </c>
      <c r="D11" s="1" t="s">
        <v>6</v>
      </c>
      <c r="E11" s="6" t="str">
        <f>VLOOKUP(A11,[1]Lote_distrito!$A:$C,3,0)</f>
        <v>La Fé</v>
      </c>
      <c r="F11" s="9" t="str">
        <f>VLOOKUP(A11,[1]Lote_distrito!$A:$B,2,0)</f>
        <v>Distrito 1</v>
      </c>
    </row>
    <row r="12" spans="1:6" x14ac:dyDescent="0.4">
      <c r="A12" s="22">
        <v>11</v>
      </c>
      <c r="B12" s="23">
        <v>13.68</v>
      </c>
      <c r="C12" s="23">
        <v>9.73</v>
      </c>
      <c r="D12" s="1" t="s">
        <v>6</v>
      </c>
      <c r="E12" s="6" t="str">
        <f>VLOOKUP(A12,[1]Lote_distrito!$A:$C,3,0)</f>
        <v>La Fé</v>
      </c>
      <c r="F12" s="9" t="str">
        <f>VLOOKUP(A12,[1]Lote_distrito!$A:$B,2,0)</f>
        <v>Distrito 1</v>
      </c>
    </row>
    <row r="13" spans="1:6" x14ac:dyDescent="0.4">
      <c r="A13" s="22">
        <v>12</v>
      </c>
      <c r="B13" s="23">
        <v>20.02</v>
      </c>
      <c r="C13" s="23">
        <v>14.04</v>
      </c>
      <c r="D13" s="1" t="s">
        <v>6</v>
      </c>
      <c r="E13" s="6" t="str">
        <f>VLOOKUP(A13,[1]Lote_distrito!$A:$C,3,0)</f>
        <v>La Fé</v>
      </c>
      <c r="F13" s="9" t="str">
        <f>VLOOKUP(A13,[1]Lote_distrito!$A:$B,2,0)</f>
        <v>Distrito 1</v>
      </c>
    </row>
    <row r="14" spans="1:6" x14ac:dyDescent="0.4">
      <c r="A14" s="24">
        <v>13</v>
      </c>
      <c r="B14" s="25">
        <v>17.61</v>
      </c>
      <c r="C14" s="25">
        <v>12.25</v>
      </c>
      <c r="D14" s="1" t="s">
        <v>6</v>
      </c>
      <c r="E14" s="6" t="str">
        <f>VLOOKUP(A14,[1]Lote_distrito!$A:$C,3,0)</f>
        <v>La Fé</v>
      </c>
      <c r="F14" s="9" t="str">
        <f>VLOOKUP(A14,[1]Lote_distrito!$A:$B,2,0)</f>
        <v>Distrito 1</v>
      </c>
    </row>
    <row r="15" spans="1:6" x14ac:dyDescent="0.4">
      <c r="A15" s="22">
        <v>14</v>
      </c>
      <c r="B15" s="23">
        <v>17.579999999999998</v>
      </c>
      <c r="C15" s="23">
        <v>11.42</v>
      </c>
      <c r="D15" s="1" t="s">
        <v>6</v>
      </c>
      <c r="E15" s="6" t="str">
        <f>VLOOKUP(A15,[1]Lote_distrito!$A:$C,3,0)</f>
        <v>La Fé</v>
      </c>
      <c r="F15" s="9" t="str">
        <f>VLOOKUP(A15,[1]Lote_distrito!$A:$B,2,0)</f>
        <v>Distrito 1</v>
      </c>
    </row>
    <row r="16" spans="1:6" x14ac:dyDescent="0.4">
      <c r="A16" s="22">
        <v>15</v>
      </c>
      <c r="B16" s="23">
        <v>20.09</v>
      </c>
      <c r="C16" s="23">
        <v>10.73</v>
      </c>
      <c r="D16" s="1" t="s">
        <v>6</v>
      </c>
      <c r="E16" s="6" t="str">
        <f>VLOOKUP(A16,[1]Lote_distrito!$A:$C,3,0)</f>
        <v>La Fé</v>
      </c>
      <c r="F16" s="9" t="str">
        <f>VLOOKUP(A16,[1]Lote_distrito!$A:$B,2,0)</f>
        <v>Distrito 1</v>
      </c>
    </row>
    <row r="17" spans="1:6" x14ac:dyDescent="0.4">
      <c r="A17" s="18">
        <v>16</v>
      </c>
      <c r="B17" s="19">
        <v>19.86</v>
      </c>
      <c r="C17" s="19">
        <v>12.17</v>
      </c>
      <c r="D17" s="1" t="s">
        <v>6</v>
      </c>
      <c r="E17" s="6" t="str">
        <f>VLOOKUP(A17,[1]Lote_distrito!$A:$C,3,0)</f>
        <v>La Fé</v>
      </c>
      <c r="F17" s="9" t="str">
        <f>VLOOKUP(A17,[1]Lote_distrito!$A:$B,2,0)</f>
        <v>Distrito 1</v>
      </c>
    </row>
    <row r="18" spans="1:6" x14ac:dyDescent="0.4">
      <c r="A18" s="18">
        <v>17</v>
      </c>
      <c r="B18" s="19">
        <v>19.52</v>
      </c>
      <c r="C18" s="19">
        <v>11.41</v>
      </c>
      <c r="D18" s="1" t="s">
        <v>6</v>
      </c>
      <c r="E18" s="6" t="str">
        <f>VLOOKUP(A18,[1]Lote_distrito!$A:$C,3,0)</f>
        <v>La Fé</v>
      </c>
      <c r="F18" s="9" t="str">
        <f>VLOOKUP(A18,[1]Lote_distrito!$A:$B,2,0)</f>
        <v>Distrito 1</v>
      </c>
    </row>
    <row r="19" spans="1:6" x14ac:dyDescent="0.4">
      <c r="A19" s="18">
        <v>18</v>
      </c>
      <c r="B19" s="19">
        <v>22.98</v>
      </c>
      <c r="C19" s="19">
        <v>15.16</v>
      </c>
      <c r="D19" s="1" t="s">
        <v>6</v>
      </c>
      <c r="E19" s="6" t="str">
        <f>VLOOKUP(A19,[1]Lote_distrito!$A:$C,3,0)</f>
        <v>La Fé</v>
      </c>
      <c r="F19" s="9" t="str">
        <f>VLOOKUP(A19,[1]Lote_distrito!$A:$B,2,0)</f>
        <v>Distrito 1</v>
      </c>
    </row>
    <row r="20" spans="1:6" x14ac:dyDescent="0.4">
      <c r="A20" s="18">
        <v>19</v>
      </c>
      <c r="B20" s="19">
        <v>15.443300000000001</v>
      </c>
      <c r="C20" s="19">
        <v>11</v>
      </c>
      <c r="D20" s="1" t="s">
        <v>6</v>
      </c>
      <c r="E20" s="6" t="str">
        <f>VLOOKUP(A20,[1]Lote_distrito!$A:$C,3,0)</f>
        <v>La Fé</v>
      </c>
      <c r="F20" s="9" t="str">
        <f>VLOOKUP(A20,[1]Lote_distrito!$A:$B,2,0)</f>
        <v>Distrito 1</v>
      </c>
    </row>
    <row r="21" spans="1:6" x14ac:dyDescent="0.4">
      <c r="A21" s="20">
        <v>20</v>
      </c>
      <c r="B21" s="21">
        <v>24.585799999999999</v>
      </c>
      <c r="C21" s="21">
        <v>16.420000000000002</v>
      </c>
      <c r="D21" s="1" t="s">
        <v>6</v>
      </c>
      <c r="E21" s="6" t="str">
        <f>VLOOKUP(A21,[1]Lote_distrito!$A:$C,3,0)</f>
        <v>La Fé</v>
      </c>
      <c r="F21" s="9" t="str">
        <f>VLOOKUP(A21,[1]Lote_distrito!$A:$B,2,0)</f>
        <v>Distrito 1</v>
      </c>
    </row>
    <row r="22" spans="1:6" x14ac:dyDescent="0.4">
      <c r="A22" s="20">
        <v>21</v>
      </c>
      <c r="B22" s="21">
        <v>16.79</v>
      </c>
      <c r="C22" s="21">
        <v>11.14</v>
      </c>
      <c r="D22" s="1" t="s">
        <v>6</v>
      </c>
      <c r="E22" s="6" t="str">
        <f>VLOOKUP(A22,[1]Lote_distrito!$A:$C,3,0)</f>
        <v>La Sultana</v>
      </c>
      <c r="F22" s="9" t="str">
        <f>VLOOKUP(A22,[1]Lote_distrito!$A:$B,2,0)</f>
        <v>Distrito 1</v>
      </c>
    </row>
    <row r="23" spans="1:6" x14ac:dyDescent="0.4">
      <c r="A23" s="18">
        <v>22</v>
      </c>
      <c r="B23" s="19">
        <v>0</v>
      </c>
      <c r="C23" s="19">
        <v>0</v>
      </c>
      <c r="D23" s="1" t="s">
        <v>6</v>
      </c>
      <c r="E23" s="6" t="str">
        <f>VLOOKUP(A23,[1]Lote_distrito!$A:$C,3,0)</f>
        <v>La Sultana</v>
      </c>
      <c r="F23" s="9" t="str">
        <f>VLOOKUP(A23,[1]Lote_distrito!$A:$B,2,0)</f>
        <v>Distrito 1</v>
      </c>
    </row>
    <row r="24" spans="1:6" x14ac:dyDescent="0.4">
      <c r="A24" s="20">
        <v>23</v>
      </c>
      <c r="B24" s="21">
        <v>12.94</v>
      </c>
      <c r="C24" s="21">
        <v>7.81</v>
      </c>
      <c r="D24" s="1" t="s">
        <v>6</v>
      </c>
      <c r="E24" s="6" t="str">
        <f>VLOOKUP(A24,[1]Lote_distrito!$A:$C,3,0)</f>
        <v>La Sultana</v>
      </c>
      <c r="F24" s="9" t="str">
        <f>VLOOKUP(A24,[1]Lote_distrito!$A:$B,2,0)</f>
        <v>Distrito 1</v>
      </c>
    </row>
    <row r="25" spans="1:6" x14ac:dyDescent="0.4">
      <c r="A25" s="20">
        <v>24</v>
      </c>
      <c r="B25" s="21">
        <v>14.27</v>
      </c>
      <c r="C25" s="21">
        <v>10.45</v>
      </c>
      <c r="D25" s="1" t="s">
        <v>6</v>
      </c>
      <c r="E25" s="6" t="str">
        <f>VLOOKUP(A25,[1]Lote_distrito!$A:$C,3,0)</f>
        <v>La Sultana</v>
      </c>
      <c r="F25" s="9" t="str">
        <f>VLOOKUP(A25,[1]Lote_distrito!$A:$B,2,0)</f>
        <v>Distrito 1</v>
      </c>
    </row>
    <row r="26" spans="1:6" x14ac:dyDescent="0.4">
      <c r="A26" s="20">
        <v>25</v>
      </c>
      <c r="B26" s="21">
        <v>18.12</v>
      </c>
      <c r="C26" s="21">
        <v>11.58</v>
      </c>
      <c r="D26" s="1" t="s">
        <v>6</v>
      </c>
      <c r="E26" s="6" t="str">
        <f>VLOOKUP(A26,[1]Lote_distrito!$A:$C,3,0)</f>
        <v>La Sultana</v>
      </c>
      <c r="F26" s="9" t="str">
        <f>VLOOKUP(A26,[1]Lote_distrito!$A:$B,2,0)</f>
        <v>Distrito 1</v>
      </c>
    </row>
    <row r="27" spans="1:6" x14ac:dyDescent="0.4">
      <c r="A27" s="20">
        <v>26</v>
      </c>
      <c r="B27" s="21">
        <v>10.94</v>
      </c>
      <c r="C27" s="21">
        <v>6.81</v>
      </c>
      <c r="D27" s="1" t="s">
        <v>6</v>
      </c>
      <c r="E27" s="6" t="str">
        <f>VLOOKUP(A27,[1]Lote_distrito!$A:$C,3,0)</f>
        <v>La Sultana</v>
      </c>
      <c r="F27" s="9" t="str">
        <f>VLOOKUP(A27,[1]Lote_distrito!$A:$B,2,0)</f>
        <v>Distrito 1</v>
      </c>
    </row>
    <row r="28" spans="1:6" x14ac:dyDescent="0.4">
      <c r="A28" s="20">
        <v>27</v>
      </c>
      <c r="B28" s="21">
        <v>10.74</v>
      </c>
      <c r="C28" s="21">
        <v>5.65</v>
      </c>
      <c r="D28" s="1" t="s">
        <v>6</v>
      </c>
      <c r="E28" s="6" t="str">
        <f>VLOOKUP(A28,[1]Lote_distrito!$A:$C,3,0)</f>
        <v>La Sultana</v>
      </c>
      <c r="F28" s="9" t="str">
        <f>VLOOKUP(A28,[1]Lote_distrito!$A:$B,2,0)</f>
        <v>Distrito 1</v>
      </c>
    </row>
    <row r="29" spans="1:6" x14ac:dyDescent="0.4">
      <c r="A29" s="18">
        <v>28</v>
      </c>
      <c r="B29" s="19">
        <v>2.9</v>
      </c>
      <c r="C29" s="19">
        <v>1.68</v>
      </c>
      <c r="D29" s="1" t="s">
        <v>6</v>
      </c>
      <c r="E29" s="6" t="str">
        <f>VLOOKUP(A29,[1]Lote_distrito!$A:$C,3,0)</f>
        <v>Jamaica</v>
      </c>
      <c r="F29" s="9" t="str">
        <f>VLOOKUP(A29,[1]Lote_distrito!$A:$B,2,0)</f>
        <v>Distrito 2</v>
      </c>
    </row>
    <row r="30" spans="1:6" x14ac:dyDescent="0.4">
      <c r="A30" s="18">
        <v>29</v>
      </c>
      <c r="B30" s="19">
        <v>8.36</v>
      </c>
      <c r="C30" s="19">
        <v>5.27</v>
      </c>
      <c r="D30" s="1" t="s">
        <v>6</v>
      </c>
      <c r="E30" s="6" t="str">
        <f>VLOOKUP(A30,[1]Lote_distrito!$A:$C,3,0)</f>
        <v>Jamaica</v>
      </c>
      <c r="F30" s="9" t="str">
        <f>VLOOKUP(A30,[1]Lote_distrito!$A:$B,2,0)</f>
        <v>Distrito 2</v>
      </c>
    </row>
    <row r="31" spans="1:6" x14ac:dyDescent="0.4">
      <c r="A31" s="20">
        <v>30</v>
      </c>
      <c r="B31" s="21">
        <v>8.1199999999999992</v>
      </c>
      <c r="C31" s="21">
        <v>4.96</v>
      </c>
      <c r="D31" s="1" t="s">
        <v>6</v>
      </c>
      <c r="E31" s="6" t="str">
        <f>VLOOKUP(A31,[1]Lote_distrito!$A:$C,3,0)</f>
        <v>Jamaica</v>
      </c>
      <c r="F31" s="9" t="str">
        <f>VLOOKUP(A31,[1]Lote_distrito!$A:$B,2,0)</f>
        <v>Distrito 2</v>
      </c>
    </row>
    <row r="32" spans="1:6" x14ac:dyDescent="0.4">
      <c r="A32" s="18">
        <v>31</v>
      </c>
      <c r="B32" s="19">
        <v>13.76</v>
      </c>
      <c r="C32" s="19">
        <v>9.08</v>
      </c>
      <c r="D32" s="1" t="s">
        <v>6</v>
      </c>
      <c r="E32" s="6" t="str">
        <f>VLOOKUP(A32,[1]Lote_distrito!$A:$C,3,0)</f>
        <v>Jamaica</v>
      </c>
      <c r="F32" s="9" t="str">
        <f>VLOOKUP(A32,[1]Lote_distrito!$A:$B,2,0)</f>
        <v>Distrito 2</v>
      </c>
    </row>
    <row r="33" spans="1:6" x14ac:dyDescent="0.4">
      <c r="A33" s="18">
        <v>32</v>
      </c>
      <c r="B33" s="19">
        <v>23.4</v>
      </c>
      <c r="C33" s="19">
        <v>17.14</v>
      </c>
      <c r="D33" s="1" t="s">
        <v>6</v>
      </c>
      <c r="E33" s="6" t="str">
        <f>VLOOKUP(A33,[1]Lote_distrito!$A:$C,3,0)</f>
        <v>Jamaica</v>
      </c>
      <c r="F33" s="9" t="str">
        <f>VLOOKUP(A33,[1]Lote_distrito!$A:$B,2,0)</f>
        <v>Distrito 2</v>
      </c>
    </row>
    <row r="34" spans="1:6" x14ac:dyDescent="0.4">
      <c r="A34" s="18">
        <v>33</v>
      </c>
      <c r="B34" s="19">
        <v>16.8</v>
      </c>
      <c r="C34" s="19">
        <v>9.75</v>
      </c>
      <c r="D34" s="1" t="s">
        <v>6</v>
      </c>
      <c r="E34" s="6" t="str">
        <f>VLOOKUP(A34,[1]Lote_distrito!$A:$C,3,0)</f>
        <v>Jamaica</v>
      </c>
      <c r="F34" s="9" t="str">
        <f>VLOOKUP(A34,[1]Lote_distrito!$A:$B,2,0)</f>
        <v>Distrito 2</v>
      </c>
    </row>
    <row r="35" spans="1:6" x14ac:dyDescent="0.4">
      <c r="A35" s="20">
        <v>34</v>
      </c>
      <c r="B35" s="21">
        <v>15.23</v>
      </c>
      <c r="C35" s="21">
        <v>12.64</v>
      </c>
      <c r="D35" s="1" t="s">
        <v>6</v>
      </c>
      <c r="E35" s="6" t="str">
        <f>VLOOKUP(A35,[1]Lote_distrito!$A:$C,3,0)</f>
        <v>Jamaica</v>
      </c>
      <c r="F35" s="9" t="str">
        <f>VLOOKUP(A35,[1]Lote_distrito!$A:$B,2,0)</f>
        <v>Distrito 2</v>
      </c>
    </row>
    <row r="36" spans="1:6" x14ac:dyDescent="0.4">
      <c r="A36" s="18">
        <v>35</v>
      </c>
      <c r="B36" s="19">
        <v>12.33</v>
      </c>
      <c r="C36" s="19">
        <v>10.8</v>
      </c>
      <c r="D36" s="1" t="s">
        <v>6</v>
      </c>
      <c r="E36" s="6" t="str">
        <f>VLOOKUP(A36,[1]Lote_distrito!$A:$C,3,0)</f>
        <v>Jamaica</v>
      </c>
      <c r="F36" s="9" t="str">
        <f>VLOOKUP(A36,[1]Lote_distrito!$A:$B,2,0)</f>
        <v>Distrito 2</v>
      </c>
    </row>
    <row r="37" spans="1:6" x14ac:dyDescent="0.4">
      <c r="A37" s="20">
        <v>36</v>
      </c>
      <c r="B37" s="21">
        <v>13.95</v>
      </c>
      <c r="C37" s="21">
        <v>9.31</v>
      </c>
      <c r="D37" s="1" t="s">
        <v>6</v>
      </c>
      <c r="E37" s="6" t="str">
        <f>VLOOKUP(A37,[1]Lote_distrito!$A:$C,3,0)</f>
        <v>Jamaica</v>
      </c>
      <c r="F37" s="9" t="str">
        <f>VLOOKUP(A37,[1]Lote_distrito!$A:$B,2,0)</f>
        <v>Distrito 2</v>
      </c>
    </row>
    <row r="38" spans="1:6" x14ac:dyDescent="0.4">
      <c r="A38" s="20">
        <v>37</v>
      </c>
      <c r="B38" s="21">
        <v>12.01</v>
      </c>
      <c r="C38" s="21">
        <v>6.95</v>
      </c>
      <c r="D38" s="1" t="s">
        <v>6</v>
      </c>
      <c r="E38" s="6" t="str">
        <f>VLOOKUP(A38,[1]Lote_distrito!$A:$C,3,0)</f>
        <v>Jamaica</v>
      </c>
      <c r="F38" s="9" t="str">
        <f>VLOOKUP(A38,[1]Lote_distrito!$A:$B,2,0)</f>
        <v>Distrito 2</v>
      </c>
    </row>
    <row r="39" spans="1:6" x14ac:dyDescent="0.4">
      <c r="A39" s="20">
        <v>38</v>
      </c>
      <c r="B39" s="21">
        <v>9.39</v>
      </c>
      <c r="C39" s="21">
        <v>7.93</v>
      </c>
      <c r="D39" s="1" t="s">
        <v>6</v>
      </c>
      <c r="E39" s="6" t="str">
        <f>VLOOKUP(A39,[1]Lote_distrito!$A:$C,3,0)</f>
        <v>Jamaica</v>
      </c>
      <c r="F39" s="9" t="str">
        <f>VLOOKUP(A39,[1]Lote_distrito!$A:$B,2,0)</f>
        <v>Distrito 2</v>
      </c>
    </row>
    <row r="40" spans="1:6" x14ac:dyDescent="0.4">
      <c r="A40" s="18">
        <v>39</v>
      </c>
      <c r="B40" s="19">
        <v>5.29</v>
      </c>
      <c r="C40" s="19">
        <v>4.82</v>
      </c>
      <c r="D40" s="1" t="s">
        <v>6</v>
      </c>
      <c r="E40" s="6" t="str">
        <f>VLOOKUP(A40,[1]Lote_distrito!$A:$C,3,0)</f>
        <v>Jamaica</v>
      </c>
      <c r="F40" s="9" t="str">
        <f>VLOOKUP(A40,[1]Lote_distrito!$A:$B,2,0)</f>
        <v>Distrito 2</v>
      </c>
    </row>
    <row r="41" spans="1:6" x14ac:dyDescent="0.4">
      <c r="A41" s="18">
        <v>40</v>
      </c>
      <c r="B41" s="19">
        <v>14.44</v>
      </c>
      <c r="C41" s="19">
        <v>9.49</v>
      </c>
      <c r="D41" s="1" t="s">
        <v>6</v>
      </c>
      <c r="E41" s="6" t="str">
        <f>VLOOKUP(A41,[1]Lote_distrito!$A:$C,3,0)</f>
        <v>Egipto</v>
      </c>
      <c r="F41" s="9" t="str">
        <f>VLOOKUP(A41,[1]Lote_distrito!$A:$B,2,0)</f>
        <v>Distrito 3</v>
      </c>
    </row>
    <row r="42" spans="1:6" x14ac:dyDescent="0.4">
      <c r="A42" s="18">
        <v>41</v>
      </c>
      <c r="B42" s="19">
        <v>12.72</v>
      </c>
      <c r="C42" s="19">
        <v>6.36</v>
      </c>
      <c r="D42" s="1" t="s">
        <v>6</v>
      </c>
      <c r="E42" s="6" t="str">
        <f>VLOOKUP(A42,[1]Lote_distrito!$A:$C,3,0)</f>
        <v>Egipto</v>
      </c>
      <c r="F42" s="9" t="str">
        <f>VLOOKUP(A42,[1]Lote_distrito!$A:$B,2,0)</f>
        <v>Distrito 3</v>
      </c>
    </row>
    <row r="43" spans="1:6" x14ac:dyDescent="0.4">
      <c r="A43" s="20">
        <v>42</v>
      </c>
      <c r="B43" s="21">
        <v>13.2</v>
      </c>
      <c r="C43" s="21">
        <v>10.5</v>
      </c>
      <c r="D43" s="1" t="s">
        <v>6</v>
      </c>
      <c r="E43" s="6" t="str">
        <f>VLOOKUP(A43,[1]Lote_distrito!$A:$C,3,0)</f>
        <v>Egipto</v>
      </c>
      <c r="F43" s="9" t="str">
        <f>VLOOKUP(A43,[1]Lote_distrito!$A:$B,2,0)</f>
        <v>Distrito 3</v>
      </c>
    </row>
    <row r="44" spans="1:6" x14ac:dyDescent="0.4">
      <c r="A44" s="18">
        <v>43</v>
      </c>
      <c r="B44" s="19">
        <v>11.8</v>
      </c>
      <c r="C44" s="19">
        <v>9.61</v>
      </c>
      <c r="D44" s="1" t="s">
        <v>6</v>
      </c>
      <c r="E44" s="6" t="str">
        <f>VLOOKUP(A44,[1]Lote_distrito!$A:$C,3,0)</f>
        <v>Egipto</v>
      </c>
      <c r="F44" s="9" t="str">
        <f>VLOOKUP(A44,[1]Lote_distrito!$A:$B,2,0)</f>
        <v>Distrito 3</v>
      </c>
    </row>
    <row r="45" spans="1:6" x14ac:dyDescent="0.4">
      <c r="A45" s="18">
        <v>44</v>
      </c>
      <c r="B45" s="19">
        <v>8.83</v>
      </c>
      <c r="C45" s="19">
        <v>7.44</v>
      </c>
      <c r="D45" s="1" t="s">
        <v>6</v>
      </c>
      <c r="E45" s="6" t="str">
        <f>VLOOKUP(A45,[1]Lote_distrito!$A:$C,3,0)</f>
        <v>Egipto</v>
      </c>
      <c r="F45" s="9" t="str">
        <f>VLOOKUP(A45,[1]Lote_distrito!$A:$B,2,0)</f>
        <v>Distrito 3</v>
      </c>
    </row>
    <row r="46" spans="1:6" x14ac:dyDescent="0.4">
      <c r="A46" s="18">
        <v>45</v>
      </c>
      <c r="B46" s="19">
        <v>9.2200000000000006</v>
      </c>
      <c r="C46" s="19">
        <v>6.63</v>
      </c>
      <c r="D46" s="1" t="s">
        <v>6</v>
      </c>
      <c r="E46" s="6" t="str">
        <f>VLOOKUP(A46,[1]Lote_distrito!$A:$C,3,0)</f>
        <v>Egipto</v>
      </c>
      <c r="F46" s="9" t="str">
        <f>VLOOKUP(A46,[1]Lote_distrito!$A:$B,2,0)</f>
        <v>Distrito 3</v>
      </c>
    </row>
    <row r="47" spans="1:6" x14ac:dyDescent="0.4">
      <c r="A47" s="20">
        <v>46</v>
      </c>
      <c r="B47" s="21">
        <v>13.51</v>
      </c>
      <c r="C47" s="21">
        <v>10.29</v>
      </c>
      <c r="D47" s="1" t="s">
        <v>6</v>
      </c>
      <c r="E47" s="6" t="str">
        <f>VLOOKUP(A47,[1]Lote_distrito!$A:$C,3,0)</f>
        <v>Egipto</v>
      </c>
      <c r="F47" s="9" t="str">
        <f>VLOOKUP(A47,[1]Lote_distrito!$A:$B,2,0)</f>
        <v>Distrito 3</v>
      </c>
    </row>
    <row r="48" spans="1:6" x14ac:dyDescent="0.4">
      <c r="A48" s="20">
        <v>47</v>
      </c>
      <c r="B48" s="21">
        <v>6.86</v>
      </c>
      <c r="C48" s="21">
        <v>5.0999999999999996</v>
      </c>
      <c r="D48" s="1" t="s">
        <v>6</v>
      </c>
      <c r="E48" s="6" t="str">
        <f>VLOOKUP(A48,[1]Lote_distrito!$A:$C,3,0)</f>
        <v>Egipto</v>
      </c>
      <c r="F48" s="9" t="str">
        <f>VLOOKUP(A48,[1]Lote_distrito!$A:$B,2,0)</f>
        <v>Distrito 3</v>
      </c>
    </row>
    <row r="49" spans="1:6" x14ac:dyDescent="0.4">
      <c r="A49" s="18">
        <v>48</v>
      </c>
      <c r="B49" s="19">
        <v>4.6399999999999997</v>
      </c>
      <c r="C49" s="21">
        <v>2.88</v>
      </c>
      <c r="D49" s="1" t="s">
        <v>6</v>
      </c>
      <c r="E49" s="6" t="str">
        <f>VLOOKUP(A49,[1]Lote_distrito!$A:$C,3,0)</f>
        <v>Egipto</v>
      </c>
      <c r="F49" s="9" t="str">
        <f>VLOOKUP(A49,[1]Lote_distrito!$A:$B,2,0)</f>
        <v>Distrito 3</v>
      </c>
    </row>
    <row r="50" spans="1:6" x14ac:dyDescent="0.4">
      <c r="A50" s="18">
        <v>49</v>
      </c>
      <c r="B50" s="19">
        <v>4.45</v>
      </c>
      <c r="C50" s="21">
        <v>2.84</v>
      </c>
      <c r="D50" s="1" t="s">
        <v>6</v>
      </c>
      <c r="E50" s="6" t="str">
        <f>VLOOKUP(A50,[1]Lote_distrito!$A:$C,3,0)</f>
        <v>Egipto</v>
      </c>
      <c r="F50" s="9" t="str">
        <f>VLOOKUP(A50,[1]Lote_distrito!$A:$B,2,0)</f>
        <v>Distrito 3</v>
      </c>
    </row>
    <row r="51" spans="1:6" x14ac:dyDescent="0.4">
      <c r="A51" s="18">
        <v>50</v>
      </c>
      <c r="B51" s="19">
        <v>2.69</v>
      </c>
      <c r="C51" s="21">
        <v>1.35</v>
      </c>
      <c r="D51" s="1" t="s">
        <v>6</v>
      </c>
      <c r="E51" s="6" t="str">
        <f>VLOOKUP(A51,[1]Lote_distrito!$A:$C,3,0)</f>
        <v>Egipto</v>
      </c>
      <c r="F51" s="9" t="str">
        <f>VLOOKUP(A51,[1]Lote_distrito!$A:$B,2,0)</f>
        <v>Distrito 3</v>
      </c>
    </row>
    <row r="52" spans="1:6" x14ac:dyDescent="0.4">
      <c r="A52" s="20">
        <v>51</v>
      </c>
      <c r="B52" s="21">
        <v>5.37</v>
      </c>
      <c r="C52" s="21">
        <v>2.7869999999999999</v>
      </c>
      <c r="D52" s="1" t="s">
        <v>6</v>
      </c>
      <c r="E52" s="6" t="str">
        <f>VLOOKUP(A52,[1]Lote_distrito!$A:$C,3,0)</f>
        <v>Egipto</v>
      </c>
      <c r="F52" s="9" t="str">
        <f>VLOOKUP(A52,[1]Lote_distrito!$A:$B,2,0)</f>
        <v>Distrito 3</v>
      </c>
    </row>
    <row r="53" spans="1:6" x14ac:dyDescent="0.4">
      <c r="A53" s="20">
        <v>52</v>
      </c>
      <c r="B53" s="21">
        <v>3.36</v>
      </c>
      <c r="C53" s="21">
        <v>2.39</v>
      </c>
      <c r="D53" s="1" t="s">
        <v>6</v>
      </c>
      <c r="E53" s="6" t="str">
        <f>VLOOKUP(A53,[1]Lote_distrito!$A:$C,3,0)</f>
        <v>Egipto</v>
      </c>
      <c r="F53" s="9" t="str">
        <f>VLOOKUP(A53,[1]Lote_distrito!$A:$B,2,0)</f>
        <v>Distrito 3</v>
      </c>
    </row>
    <row r="54" spans="1:6" x14ac:dyDescent="0.4">
      <c r="A54" s="20">
        <v>53</v>
      </c>
      <c r="B54" s="21">
        <v>8.09</v>
      </c>
      <c r="C54" s="21">
        <v>5.2450000000000001</v>
      </c>
      <c r="D54" s="1" t="s">
        <v>6</v>
      </c>
      <c r="E54" s="6" t="str">
        <f>VLOOKUP(A54,[1]Lote_distrito!$A:$C,3,0)</f>
        <v>Egipto</v>
      </c>
      <c r="F54" s="9" t="str">
        <f>VLOOKUP(A54,[1]Lote_distrito!$A:$B,2,0)</f>
        <v>Distrito 3</v>
      </c>
    </row>
    <row r="55" spans="1:6" x14ac:dyDescent="0.4">
      <c r="A55" s="18">
        <v>54</v>
      </c>
      <c r="B55" s="19">
        <v>6.87</v>
      </c>
      <c r="C55" s="19">
        <v>5.05</v>
      </c>
      <c r="D55" s="1" t="s">
        <v>6</v>
      </c>
      <c r="E55" s="6" t="str">
        <f>VLOOKUP(A55,[1]Lote_distrito!$A:$C,3,0)</f>
        <v>Egipto</v>
      </c>
      <c r="F55" s="9" t="str">
        <f>VLOOKUP(A55,[1]Lote_distrito!$A:$B,2,0)</f>
        <v>Distrito 3</v>
      </c>
    </row>
    <row r="56" spans="1:6" x14ac:dyDescent="0.4">
      <c r="A56" s="18">
        <v>55</v>
      </c>
      <c r="B56" s="19">
        <v>4.8899999999999997</v>
      </c>
      <c r="C56" s="19">
        <v>3.42</v>
      </c>
      <c r="D56" s="1" t="s">
        <v>6</v>
      </c>
      <c r="E56" s="6" t="str">
        <f>VLOOKUP(A56,[1]Lote_distrito!$A:$C,3,0)</f>
        <v>Egipto</v>
      </c>
      <c r="F56" s="9" t="str">
        <f>VLOOKUP(A56,[1]Lote_distrito!$A:$B,2,0)</f>
        <v>Distrito 3</v>
      </c>
    </row>
    <row r="57" spans="1:6" x14ac:dyDescent="0.4">
      <c r="A57" s="18">
        <v>56</v>
      </c>
      <c r="B57" s="19">
        <v>21.08</v>
      </c>
      <c r="C57" s="19">
        <v>14.29</v>
      </c>
      <c r="D57" s="1" t="s">
        <v>6</v>
      </c>
      <c r="E57" s="6" t="str">
        <f>VLOOKUP(A57,[1]Lote_distrito!$A:$C,3,0)</f>
        <v>Las Américas</v>
      </c>
      <c r="F57" s="9" t="str">
        <f>VLOOKUP(A57,[1]Lote_distrito!$A:$B,2,0)</f>
        <v>Distrito 2</v>
      </c>
    </row>
    <row r="58" spans="1:6" x14ac:dyDescent="0.4">
      <c r="A58" s="20">
        <v>57</v>
      </c>
      <c r="B58" s="21">
        <v>13.84</v>
      </c>
      <c r="C58" s="21">
        <v>9.3699999999999992</v>
      </c>
      <c r="D58" s="1" t="s">
        <v>6</v>
      </c>
      <c r="E58" s="6" t="str">
        <f>VLOOKUP(A58,[1]Lote_distrito!$A:$C,3,0)</f>
        <v>Las Américas</v>
      </c>
      <c r="F58" s="9" t="str">
        <f>VLOOKUP(A58,[1]Lote_distrito!$A:$B,2,0)</f>
        <v>Distrito 2</v>
      </c>
    </row>
    <row r="59" spans="1:6" x14ac:dyDescent="0.4">
      <c r="A59" s="20">
        <v>58</v>
      </c>
      <c r="B59" s="21">
        <v>23.49</v>
      </c>
      <c r="C59" s="21">
        <v>16.47</v>
      </c>
      <c r="D59" s="1" t="s">
        <v>6</v>
      </c>
      <c r="E59" s="6" t="str">
        <f>VLOOKUP(A59,[1]Lote_distrito!$A:$C,3,0)</f>
        <v>Las Américas</v>
      </c>
      <c r="F59" s="9" t="str">
        <f>VLOOKUP(A59,[1]Lote_distrito!$A:$B,2,0)</f>
        <v>Distrito 2</v>
      </c>
    </row>
    <row r="60" spans="1:6" x14ac:dyDescent="0.4">
      <c r="A60" s="18">
        <v>59</v>
      </c>
      <c r="B60" s="19">
        <v>18.100000000000001</v>
      </c>
      <c r="C60" s="19">
        <v>12.69</v>
      </c>
      <c r="D60" s="1" t="s">
        <v>6</v>
      </c>
      <c r="E60" s="6" t="str">
        <f>VLOOKUP(A60,[1]Lote_distrito!$A:$C,3,0)</f>
        <v>Las Américas</v>
      </c>
      <c r="F60" s="9" t="str">
        <f>VLOOKUP(A60,[1]Lote_distrito!$A:$B,2,0)</f>
        <v>Distrito 2</v>
      </c>
    </row>
    <row r="61" spans="1:6" x14ac:dyDescent="0.4">
      <c r="A61" s="18">
        <v>60</v>
      </c>
      <c r="B61" s="19">
        <v>11.4</v>
      </c>
      <c r="C61" s="19">
        <v>7.92</v>
      </c>
      <c r="D61" s="1" t="s">
        <v>6</v>
      </c>
      <c r="E61" s="6" t="str">
        <f>VLOOKUP(A61,[1]Lote_distrito!$A:$C,3,0)</f>
        <v>Las Américas</v>
      </c>
      <c r="F61" s="9" t="str">
        <f>VLOOKUP(A61,[1]Lote_distrito!$A:$B,2,0)</f>
        <v>Distrito 2</v>
      </c>
    </row>
    <row r="62" spans="1:6" x14ac:dyDescent="0.4">
      <c r="A62" s="18">
        <v>61</v>
      </c>
      <c r="B62" s="19">
        <v>17.2</v>
      </c>
      <c r="C62" s="19">
        <v>11.41</v>
      </c>
      <c r="D62" s="1" t="s">
        <v>6</v>
      </c>
      <c r="E62" s="6" t="str">
        <f>VLOOKUP(A62,[1]Lote_distrito!$A:$C,3,0)</f>
        <v>Las Américas</v>
      </c>
      <c r="F62" s="9" t="str">
        <f>VLOOKUP(A62,[1]Lote_distrito!$A:$B,2,0)</f>
        <v>Distrito 2</v>
      </c>
    </row>
    <row r="63" spans="1:6" x14ac:dyDescent="0.4">
      <c r="A63" s="18">
        <v>62</v>
      </c>
      <c r="B63" s="19">
        <v>16.2</v>
      </c>
      <c r="C63" s="19">
        <v>10.91</v>
      </c>
      <c r="D63" s="1" t="s">
        <v>6</v>
      </c>
      <c r="E63" s="6" t="str">
        <f>VLOOKUP(A63,[1]Lote_distrito!$A:$C,3,0)</f>
        <v>Las Américas</v>
      </c>
      <c r="F63" s="9" t="str">
        <f>VLOOKUP(A63,[1]Lote_distrito!$A:$B,2,0)</f>
        <v>Distrito 2</v>
      </c>
    </row>
    <row r="64" spans="1:6" x14ac:dyDescent="0.4">
      <c r="A64" s="18">
        <v>63</v>
      </c>
      <c r="B64" s="19">
        <v>18.399999999999999</v>
      </c>
      <c r="C64" s="19">
        <v>12.35</v>
      </c>
      <c r="D64" s="1" t="s">
        <v>6</v>
      </c>
      <c r="E64" s="6" t="str">
        <f>VLOOKUP(A64,[1]Lote_distrito!$A:$C,3,0)</f>
        <v>Las Américas</v>
      </c>
      <c r="F64" s="9" t="str">
        <f>VLOOKUP(A64,[1]Lote_distrito!$A:$B,2,0)</f>
        <v>Distrito 2</v>
      </c>
    </row>
    <row r="65" spans="1:6" x14ac:dyDescent="0.4">
      <c r="A65" s="18">
        <v>64</v>
      </c>
      <c r="B65" s="19">
        <v>8.73</v>
      </c>
      <c r="C65" s="19">
        <v>5.76</v>
      </c>
      <c r="D65" s="1" t="s">
        <v>6</v>
      </c>
      <c r="E65" s="6" t="str">
        <f>VLOOKUP(A65,[1]Lote_distrito!$A:$C,3,0)</f>
        <v>Las Américas</v>
      </c>
      <c r="F65" s="9" t="str">
        <f>VLOOKUP(A65,[1]Lote_distrito!$A:$B,2,0)</f>
        <v>Distrito 2</v>
      </c>
    </row>
    <row r="66" spans="1:6" x14ac:dyDescent="0.4">
      <c r="A66" s="18">
        <v>65</v>
      </c>
      <c r="B66" s="19">
        <v>12.5</v>
      </c>
      <c r="C66" s="19">
        <v>7.77</v>
      </c>
      <c r="D66" s="1" t="s">
        <v>6</v>
      </c>
      <c r="E66" s="6" t="str">
        <f>VLOOKUP(A66,[1]Lote_distrito!$A:$C,3,0)</f>
        <v>Las Américas</v>
      </c>
      <c r="F66" s="9" t="str">
        <f>VLOOKUP(A66,[1]Lote_distrito!$A:$B,2,0)</f>
        <v>Distrito 2</v>
      </c>
    </row>
    <row r="67" spans="1:6" x14ac:dyDescent="0.4">
      <c r="A67" s="18">
        <v>66</v>
      </c>
      <c r="B67" s="19">
        <v>8.2780000000000005</v>
      </c>
      <c r="C67" s="19">
        <v>6.67</v>
      </c>
      <c r="D67" s="1" t="s">
        <v>6</v>
      </c>
      <c r="E67" s="6" t="str">
        <f>VLOOKUP(A67,[1]Lote_distrito!$A:$C,3,0)</f>
        <v>Brasil</v>
      </c>
      <c r="F67" s="9" t="str">
        <f>VLOOKUP(A67,[1]Lote_distrito!$A:$B,2,0)</f>
        <v>Distrito 3</v>
      </c>
    </row>
    <row r="68" spans="1:6" x14ac:dyDescent="0.4">
      <c r="A68" s="18">
        <v>67</v>
      </c>
      <c r="B68" s="19">
        <v>10.39</v>
      </c>
      <c r="C68" s="19">
        <v>8.24</v>
      </c>
      <c r="D68" s="1" t="s">
        <v>6</v>
      </c>
      <c r="E68" s="6" t="str">
        <f>VLOOKUP(A68,[1]Lote_distrito!$A:$C,3,0)</f>
        <v>Brasil</v>
      </c>
      <c r="F68" s="9" t="str">
        <f>VLOOKUP(A68,[1]Lote_distrito!$A:$B,2,0)</f>
        <v>Distrito 2</v>
      </c>
    </row>
    <row r="69" spans="1:6" x14ac:dyDescent="0.4">
      <c r="A69" s="18">
        <v>68</v>
      </c>
      <c r="B69" s="19">
        <v>19.747</v>
      </c>
      <c r="C69" s="19">
        <v>16.27</v>
      </c>
      <c r="D69" s="1" t="s">
        <v>6</v>
      </c>
      <c r="E69" s="6" t="str">
        <f>VLOOKUP(A69,[1]Lote_distrito!$A:$C,3,0)</f>
        <v>Brasil</v>
      </c>
      <c r="F69" s="9" t="str">
        <f>VLOOKUP(A69,[1]Lote_distrito!$A:$B,2,0)</f>
        <v>Distrito 3</v>
      </c>
    </row>
    <row r="70" spans="1:6" x14ac:dyDescent="0.4">
      <c r="A70" s="18">
        <v>69</v>
      </c>
      <c r="B70" s="19">
        <v>19.747</v>
      </c>
      <c r="C70" s="19">
        <v>12.32</v>
      </c>
      <c r="D70" s="1" t="s">
        <v>6</v>
      </c>
      <c r="E70" s="6" t="str">
        <f>VLOOKUP(A70,[1]Lote_distrito!$A:$C,3,0)</f>
        <v>Brasil</v>
      </c>
      <c r="F70" s="9" t="str">
        <f>VLOOKUP(A70,[1]Lote_distrito!$A:$B,2,0)</f>
        <v>Distrito 2</v>
      </c>
    </row>
    <row r="71" spans="1:6" x14ac:dyDescent="0.4">
      <c r="A71" s="18">
        <v>70</v>
      </c>
      <c r="B71" s="19">
        <v>12.8</v>
      </c>
      <c r="C71" s="19">
        <v>7.33</v>
      </c>
      <c r="D71" s="1" t="s">
        <v>6</v>
      </c>
      <c r="E71" s="6" t="str">
        <f>VLOOKUP(A71,[1]Lote_distrito!$A:$C,3,0)</f>
        <v>Brasil</v>
      </c>
      <c r="F71" s="9" t="str">
        <f>VLOOKUP(A71,[1]Lote_distrito!$A:$B,2,0)</f>
        <v>Distrito 2</v>
      </c>
    </row>
    <row r="72" spans="1:6" x14ac:dyDescent="0.4">
      <c r="A72" s="18">
        <v>71</v>
      </c>
      <c r="B72" s="19">
        <v>13.45</v>
      </c>
      <c r="C72" s="19">
        <v>11.63</v>
      </c>
      <c r="D72" s="1" t="s">
        <v>6</v>
      </c>
      <c r="E72" s="6" t="str">
        <f>VLOOKUP(A72,[1]Lote_distrito!$A:$C,3,0)</f>
        <v>Brasil</v>
      </c>
      <c r="F72" s="9" t="str">
        <f>VLOOKUP(A72,[1]Lote_distrito!$A:$B,2,0)</f>
        <v>Distrito 2</v>
      </c>
    </row>
    <row r="73" spans="1:6" x14ac:dyDescent="0.4">
      <c r="A73" s="18">
        <v>72</v>
      </c>
      <c r="B73" s="19">
        <v>19</v>
      </c>
      <c r="C73" s="19">
        <v>12.116860000000001</v>
      </c>
      <c r="D73" s="1" t="s">
        <v>6</v>
      </c>
      <c r="E73" s="6" t="str">
        <f>VLOOKUP(A73,[1]Lote_distrito!$A:$C,3,0)</f>
        <v>Brasil</v>
      </c>
      <c r="F73" s="9" t="str">
        <f>VLOOKUP(A73,[1]Lote_distrito!$A:$B,2,0)</f>
        <v>Distrito 3</v>
      </c>
    </row>
    <row r="74" spans="1:6" x14ac:dyDescent="0.4">
      <c r="A74" s="18">
        <v>73</v>
      </c>
      <c r="B74" s="19">
        <v>19</v>
      </c>
      <c r="C74" s="19">
        <v>11.84</v>
      </c>
      <c r="D74" s="1" t="s">
        <v>6</v>
      </c>
      <c r="E74" s="6" t="str">
        <f>VLOOKUP(A74,[1]Lote_distrito!$A:$C,3,0)</f>
        <v>Brasil</v>
      </c>
      <c r="F74" s="9" t="str">
        <f>VLOOKUP(A74,[1]Lote_distrito!$A:$B,2,0)</f>
        <v>Distrito 3</v>
      </c>
    </row>
    <row r="75" spans="1:6" x14ac:dyDescent="0.4">
      <c r="A75" s="18">
        <v>74</v>
      </c>
      <c r="B75" s="19">
        <v>10.301</v>
      </c>
      <c r="C75" s="19">
        <v>8.2766000000000002</v>
      </c>
      <c r="D75" s="1" t="s">
        <v>6</v>
      </c>
      <c r="E75" s="6" t="str">
        <f>VLOOKUP(A75,[1]Lote_distrito!$A:$C,3,0)</f>
        <v>Brasil</v>
      </c>
      <c r="F75" s="9" t="str">
        <f>VLOOKUP(A75,[1]Lote_distrito!$A:$B,2,0)</f>
        <v>Distrito 3</v>
      </c>
    </row>
    <row r="76" spans="1:6" x14ac:dyDescent="0.4">
      <c r="A76" s="18">
        <v>75</v>
      </c>
      <c r="B76" s="19">
        <v>9.1449999999999996</v>
      </c>
      <c r="C76" s="19">
        <v>7.25</v>
      </c>
      <c r="D76" s="1" t="s">
        <v>6</v>
      </c>
      <c r="E76" s="6" t="str">
        <f>VLOOKUP(A76,[1]Lote_distrito!$A:$C,3,0)</f>
        <v>Brasil</v>
      </c>
      <c r="F76" s="9" t="str">
        <f>VLOOKUP(A76,[1]Lote_distrito!$A:$B,2,0)</f>
        <v>Distrito 2</v>
      </c>
    </row>
    <row r="77" spans="1:6" x14ac:dyDescent="0.4">
      <c r="A77" s="18">
        <v>76</v>
      </c>
      <c r="B77" s="19">
        <v>5.0880000000000001</v>
      </c>
      <c r="C77" s="19">
        <v>4.92</v>
      </c>
      <c r="D77" s="1" t="s">
        <v>6</v>
      </c>
      <c r="E77" s="6" t="str">
        <f>VLOOKUP(A77,[1]Lote_distrito!$A:$C,3,0)</f>
        <v>Brasil</v>
      </c>
      <c r="F77" s="9" t="str">
        <f>VLOOKUP(A77,[1]Lote_distrito!$A:$B,2,0)</f>
        <v>Distrito 3</v>
      </c>
    </row>
    <row r="78" spans="1:6" x14ac:dyDescent="0.4">
      <c r="A78" s="20">
        <v>77</v>
      </c>
      <c r="B78" s="21">
        <v>14.965</v>
      </c>
      <c r="C78" s="21">
        <v>12.07</v>
      </c>
      <c r="D78" s="1" t="s">
        <v>6</v>
      </c>
      <c r="E78" s="6" t="str">
        <f>VLOOKUP(A78,[1]Lote_distrito!$A:$C,3,0)</f>
        <v>Argentina</v>
      </c>
      <c r="F78" s="9" t="str">
        <f>VLOOKUP(A78,[1]Lote_distrito!$A:$B,2,0)</f>
        <v>Distrito 3</v>
      </c>
    </row>
    <row r="79" spans="1:6" x14ac:dyDescent="0.4">
      <c r="A79" s="20">
        <v>78</v>
      </c>
      <c r="B79" s="21">
        <v>12.73</v>
      </c>
      <c r="C79" s="21">
        <v>10.81</v>
      </c>
      <c r="D79" s="1" t="s">
        <v>6</v>
      </c>
      <c r="E79" s="6" t="str">
        <f>VLOOKUP(A79,[1]Lote_distrito!$A:$C,3,0)</f>
        <v>Argentina</v>
      </c>
      <c r="F79" s="9" t="str">
        <f>VLOOKUP(A79,[1]Lote_distrito!$A:$B,2,0)</f>
        <v>Distrito 3</v>
      </c>
    </row>
    <row r="80" spans="1:6" x14ac:dyDescent="0.4">
      <c r="A80" s="20">
        <v>79</v>
      </c>
      <c r="B80" s="21">
        <v>6.5</v>
      </c>
      <c r="C80" s="21">
        <v>5.27</v>
      </c>
      <c r="D80" s="1" t="s">
        <v>6</v>
      </c>
      <c r="E80" s="6" t="s">
        <v>7</v>
      </c>
      <c r="F80" s="9" t="s">
        <v>8</v>
      </c>
    </row>
    <row r="81" spans="1:6" x14ac:dyDescent="0.4">
      <c r="A81" s="20">
        <v>80</v>
      </c>
      <c r="B81" s="21">
        <v>18.54</v>
      </c>
      <c r="C81" s="21">
        <v>15.09</v>
      </c>
      <c r="D81" s="1" t="s">
        <v>6</v>
      </c>
      <c r="E81" s="6" t="s">
        <v>7</v>
      </c>
      <c r="F81" s="9" t="s">
        <v>8</v>
      </c>
    </row>
    <row r="82" spans="1:6" x14ac:dyDescent="0.4">
      <c r="A82" s="20">
        <v>81</v>
      </c>
      <c r="B82" s="21">
        <v>18.32</v>
      </c>
      <c r="C82" s="21">
        <v>16.8</v>
      </c>
      <c r="D82" s="1" t="s">
        <v>6</v>
      </c>
      <c r="E82" s="6" t="s">
        <v>7</v>
      </c>
      <c r="F82" s="9" t="s">
        <v>8</v>
      </c>
    </row>
    <row r="83" spans="1:6" x14ac:dyDescent="0.4">
      <c r="A83" s="20">
        <v>82</v>
      </c>
      <c r="B83" s="21">
        <v>15.728999999999999</v>
      </c>
      <c r="C83" s="21">
        <v>12.72</v>
      </c>
      <c r="D83" s="1" t="s">
        <v>6</v>
      </c>
      <c r="E83" s="6" t="s">
        <v>7</v>
      </c>
      <c r="F83" s="9" t="s">
        <v>8</v>
      </c>
    </row>
    <row r="84" spans="1:6" x14ac:dyDescent="0.4">
      <c r="A84" s="20">
        <v>83</v>
      </c>
      <c r="B84" s="21">
        <v>10.916</v>
      </c>
      <c r="C84" s="21">
        <v>9.7100000000000009</v>
      </c>
      <c r="D84" s="1" t="s">
        <v>6</v>
      </c>
      <c r="E84" s="6" t="s">
        <v>7</v>
      </c>
      <c r="F84" s="9" t="s">
        <v>8</v>
      </c>
    </row>
    <row r="85" spans="1:6" x14ac:dyDescent="0.4">
      <c r="A85" s="20">
        <v>84</v>
      </c>
      <c r="B85" s="21">
        <v>5.9</v>
      </c>
      <c r="C85" s="21">
        <v>4.798</v>
      </c>
      <c r="D85" s="1" t="s">
        <v>6</v>
      </c>
      <c r="E85" s="6" t="s">
        <v>7</v>
      </c>
      <c r="F85" s="9" t="s">
        <v>8</v>
      </c>
    </row>
    <row r="86" spans="1:6" x14ac:dyDescent="0.4">
      <c r="A86" s="20">
        <v>85</v>
      </c>
      <c r="B86" s="21">
        <v>5.04</v>
      </c>
      <c r="C86" s="21">
        <v>3.4</v>
      </c>
      <c r="D86" s="1" t="s">
        <v>6</v>
      </c>
      <c r="E86" s="6" t="s">
        <v>7</v>
      </c>
      <c r="F86" s="9" t="s">
        <v>8</v>
      </c>
    </row>
    <row r="87" spans="1:6" x14ac:dyDescent="0.4">
      <c r="A87" s="20">
        <v>86</v>
      </c>
      <c r="B87" s="21">
        <v>9.673</v>
      </c>
      <c r="C87" s="21">
        <v>7.8860000000000001</v>
      </c>
      <c r="D87" s="1" t="s">
        <v>6</v>
      </c>
      <c r="E87" s="6" t="s">
        <v>7</v>
      </c>
      <c r="F87" s="9" t="s">
        <v>8</v>
      </c>
    </row>
    <row r="88" spans="1:6" x14ac:dyDescent="0.4">
      <c r="A88" s="20">
        <v>87</v>
      </c>
      <c r="B88" s="21">
        <v>7.5960000000000001</v>
      </c>
      <c r="C88" s="21">
        <v>6.1</v>
      </c>
      <c r="D88" s="1" t="s">
        <v>6</v>
      </c>
      <c r="E88" s="6" t="s">
        <v>7</v>
      </c>
      <c r="F88" s="9" t="s">
        <v>8</v>
      </c>
    </row>
    <row r="89" spans="1:6" x14ac:dyDescent="0.4">
      <c r="A89" s="35" t="s">
        <v>272</v>
      </c>
      <c r="B89" s="36"/>
      <c r="C89" s="36"/>
      <c r="D89" s="37"/>
      <c r="E89" s="38"/>
      <c r="F89" s="39"/>
    </row>
    <row r="90" spans="1:6" ht="31" x14ac:dyDescent="0.4">
      <c r="A90" s="35" t="s">
        <v>525</v>
      </c>
      <c r="B90" s="36"/>
      <c r="C90" s="36"/>
      <c r="D90" s="37"/>
      <c r="E90" s="38"/>
      <c r="F90" s="39"/>
    </row>
    <row r="91" spans="1:6" x14ac:dyDescent="0.4">
      <c r="A91" s="35" t="s">
        <v>527</v>
      </c>
      <c r="B91" s="36"/>
      <c r="C91" s="36"/>
      <c r="D91" s="37"/>
      <c r="E91" s="38"/>
      <c r="F91" s="39"/>
    </row>
    <row r="92" spans="1:6" x14ac:dyDescent="0.4">
      <c r="A92" s="35" t="s">
        <v>528</v>
      </c>
      <c r="B92" s="36"/>
      <c r="C92" s="36"/>
      <c r="D92" s="37"/>
      <c r="E92" s="38"/>
      <c r="F92" s="39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65B5-FB23-4473-BD8B-19564324C83A}">
  <dimension ref="A1:E104"/>
  <sheetViews>
    <sheetView workbookViewId="0">
      <selection activeCell="A8" sqref="A8"/>
    </sheetView>
  </sheetViews>
  <sheetFormatPr baseColWidth="10" defaultRowHeight="14.5" x14ac:dyDescent="0.35"/>
  <cols>
    <col min="2" max="2" width="17.6328125" customWidth="1"/>
    <col min="3" max="3" width="12" customWidth="1"/>
    <col min="5" max="5" width="14.6328125" customWidth="1"/>
  </cols>
  <sheetData>
    <row r="1" spans="1:5" ht="16" x14ac:dyDescent="0.4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</row>
    <row r="2" spans="1:5" x14ac:dyDescent="0.35">
      <c r="A2" t="s">
        <v>75</v>
      </c>
      <c r="B2" t="s">
        <v>76</v>
      </c>
      <c r="C2" t="s">
        <v>77</v>
      </c>
      <c r="D2" t="s">
        <v>78</v>
      </c>
      <c r="E2" t="s">
        <v>79</v>
      </c>
    </row>
    <row r="3" spans="1:5" x14ac:dyDescent="0.35">
      <c r="A3" t="s">
        <v>80</v>
      </c>
      <c r="B3" t="s">
        <v>76</v>
      </c>
      <c r="C3" t="s">
        <v>77</v>
      </c>
      <c r="D3" t="s">
        <v>78</v>
      </c>
      <c r="E3" t="s">
        <v>79</v>
      </c>
    </row>
    <row r="4" spans="1:5" x14ac:dyDescent="0.35">
      <c r="A4" t="s">
        <v>81</v>
      </c>
      <c r="B4" t="s">
        <v>76</v>
      </c>
      <c r="C4" t="s">
        <v>77</v>
      </c>
      <c r="D4" t="s">
        <v>78</v>
      </c>
      <c r="E4" t="s">
        <v>79</v>
      </c>
    </row>
    <row r="5" spans="1:5" x14ac:dyDescent="0.35">
      <c r="A5" t="s">
        <v>82</v>
      </c>
      <c r="B5" t="s">
        <v>76</v>
      </c>
      <c r="C5" t="s">
        <v>77</v>
      </c>
      <c r="D5" t="s">
        <v>78</v>
      </c>
      <c r="E5" t="s">
        <v>79</v>
      </c>
    </row>
    <row r="6" spans="1:5" x14ac:dyDescent="0.35">
      <c r="A6" t="s">
        <v>83</v>
      </c>
      <c r="B6" t="s">
        <v>76</v>
      </c>
      <c r="C6" t="s">
        <v>77</v>
      </c>
      <c r="D6" t="s">
        <v>78</v>
      </c>
      <c r="E6" t="s">
        <v>79</v>
      </c>
    </row>
    <row r="7" spans="1:5" x14ac:dyDescent="0.35">
      <c r="A7" t="s">
        <v>84</v>
      </c>
      <c r="B7" t="s">
        <v>76</v>
      </c>
      <c r="C7" t="s">
        <v>77</v>
      </c>
      <c r="D7" t="s">
        <v>78</v>
      </c>
      <c r="E7" t="s">
        <v>85</v>
      </c>
    </row>
    <row r="8" spans="1:5" x14ac:dyDescent="0.35">
      <c r="A8" t="s">
        <v>86</v>
      </c>
      <c r="B8" t="s">
        <v>76</v>
      </c>
      <c r="C8" t="s">
        <v>77</v>
      </c>
      <c r="D8" t="s">
        <v>78</v>
      </c>
      <c r="E8" t="s">
        <v>85</v>
      </c>
    </row>
    <row r="9" spans="1:5" x14ac:dyDescent="0.35">
      <c r="A9" t="s">
        <v>87</v>
      </c>
      <c r="B9" t="s">
        <v>76</v>
      </c>
      <c r="C9" t="s">
        <v>77</v>
      </c>
      <c r="E9" t="s">
        <v>88</v>
      </c>
    </row>
    <row r="10" spans="1:5" x14ac:dyDescent="0.35">
      <c r="A10" t="s">
        <v>89</v>
      </c>
      <c r="B10" t="s">
        <v>76</v>
      </c>
      <c r="C10" t="s">
        <v>77</v>
      </c>
      <c r="D10" t="s">
        <v>90</v>
      </c>
      <c r="E10" t="s">
        <v>91</v>
      </c>
    </row>
    <row r="11" spans="1:5" x14ac:dyDescent="0.35">
      <c r="A11" t="s">
        <v>92</v>
      </c>
      <c r="B11" t="s">
        <v>76</v>
      </c>
      <c r="C11" t="s">
        <v>77</v>
      </c>
      <c r="E11" t="s">
        <v>93</v>
      </c>
    </row>
    <row r="12" spans="1:5" x14ac:dyDescent="0.35">
      <c r="A12" t="s">
        <v>94</v>
      </c>
      <c r="B12" t="s">
        <v>76</v>
      </c>
      <c r="C12" t="s">
        <v>77</v>
      </c>
      <c r="E12" t="s">
        <v>95</v>
      </c>
    </row>
    <row r="13" spans="1:5" x14ac:dyDescent="0.35">
      <c r="A13" t="s">
        <v>96</v>
      </c>
      <c r="B13" t="s">
        <v>76</v>
      </c>
      <c r="C13" t="s">
        <v>77</v>
      </c>
      <c r="D13" t="s">
        <v>90</v>
      </c>
      <c r="E13" t="s">
        <v>97</v>
      </c>
    </row>
    <row r="14" spans="1:5" x14ac:dyDescent="0.35">
      <c r="A14" t="s">
        <v>98</v>
      </c>
      <c r="B14" t="s">
        <v>76</v>
      </c>
      <c r="C14" t="s">
        <v>77</v>
      </c>
      <c r="D14" t="s">
        <v>78</v>
      </c>
      <c r="E14" t="s">
        <v>79</v>
      </c>
    </row>
    <row r="15" spans="1:5" x14ac:dyDescent="0.35">
      <c r="A15" t="s">
        <v>99</v>
      </c>
      <c r="B15" t="s">
        <v>76</v>
      </c>
      <c r="C15" t="s">
        <v>77</v>
      </c>
      <c r="D15" t="s">
        <v>78</v>
      </c>
      <c r="E15" t="s">
        <v>79</v>
      </c>
    </row>
    <row r="16" spans="1:5" x14ac:dyDescent="0.35">
      <c r="A16" t="s">
        <v>100</v>
      </c>
      <c r="B16" t="s">
        <v>76</v>
      </c>
      <c r="C16" t="s">
        <v>77</v>
      </c>
      <c r="D16" t="s">
        <v>78</v>
      </c>
      <c r="E16" t="s">
        <v>85</v>
      </c>
    </row>
    <row r="17" spans="1:5" x14ac:dyDescent="0.35">
      <c r="A17" t="s">
        <v>101</v>
      </c>
      <c r="B17" t="s">
        <v>76</v>
      </c>
      <c r="C17" t="s">
        <v>77</v>
      </c>
      <c r="D17" t="s">
        <v>78</v>
      </c>
      <c r="E17" t="s">
        <v>85</v>
      </c>
    </row>
    <row r="18" spans="1:5" x14ac:dyDescent="0.35">
      <c r="A18" t="s">
        <v>102</v>
      </c>
      <c r="B18" t="s">
        <v>76</v>
      </c>
      <c r="C18" t="s">
        <v>77</v>
      </c>
      <c r="D18" t="s">
        <v>78</v>
      </c>
      <c r="E18" t="s">
        <v>85</v>
      </c>
    </row>
    <row r="19" spans="1:5" x14ac:dyDescent="0.35">
      <c r="A19" t="s">
        <v>103</v>
      </c>
      <c r="B19" t="s">
        <v>76</v>
      </c>
      <c r="C19" t="s">
        <v>77</v>
      </c>
      <c r="E19" t="s">
        <v>104</v>
      </c>
    </row>
    <row r="20" spans="1:5" x14ac:dyDescent="0.35">
      <c r="A20" t="s">
        <v>105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5">
      <c r="A21" t="s">
        <v>106</v>
      </c>
      <c r="B21" t="s">
        <v>76</v>
      </c>
      <c r="C21" t="s">
        <v>77</v>
      </c>
      <c r="D21" t="s">
        <v>78</v>
      </c>
      <c r="E21" t="s">
        <v>85</v>
      </c>
    </row>
    <row r="22" spans="1:5" x14ac:dyDescent="0.35">
      <c r="A22" t="s">
        <v>107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35">
      <c r="A23" t="s">
        <v>108</v>
      </c>
      <c r="B23" t="s">
        <v>76</v>
      </c>
      <c r="C23" t="s">
        <v>77</v>
      </c>
      <c r="E23" t="s">
        <v>109</v>
      </c>
    </row>
    <row r="24" spans="1:5" x14ac:dyDescent="0.35">
      <c r="A24" t="s">
        <v>110</v>
      </c>
      <c r="B24" t="s">
        <v>76</v>
      </c>
      <c r="C24" t="s">
        <v>77</v>
      </c>
      <c r="D24" t="s">
        <v>78</v>
      </c>
      <c r="E24" t="s">
        <v>79</v>
      </c>
    </row>
    <row r="25" spans="1:5" x14ac:dyDescent="0.35">
      <c r="A25" t="s">
        <v>111</v>
      </c>
      <c r="B25" t="s">
        <v>76</v>
      </c>
      <c r="C25" t="s">
        <v>77</v>
      </c>
      <c r="D25" t="s">
        <v>78</v>
      </c>
      <c r="E25" t="s">
        <v>79</v>
      </c>
    </row>
    <row r="26" spans="1:5" x14ac:dyDescent="0.35">
      <c r="A26" t="s">
        <v>112</v>
      </c>
      <c r="B26" t="s">
        <v>76</v>
      </c>
      <c r="C26" t="s">
        <v>77</v>
      </c>
      <c r="D26" t="s">
        <v>78</v>
      </c>
      <c r="E26" t="s">
        <v>79</v>
      </c>
    </row>
    <row r="27" spans="1:5" x14ac:dyDescent="0.35">
      <c r="A27" t="s">
        <v>113</v>
      </c>
      <c r="B27" t="s">
        <v>76</v>
      </c>
      <c r="C27" t="s">
        <v>77</v>
      </c>
      <c r="D27" t="s">
        <v>78</v>
      </c>
      <c r="E27" t="s">
        <v>85</v>
      </c>
    </row>
    <row r="28" spans="1:5" x14ac:dyDescent="0.35">
      <c r="A28" t="s">
        <v>114</v>
      </c>
      <c r="B28" t="s">
        <v>115</v>
      </c>
      <c r="C28" t="s">
        <v>116</v>
      </c>
    </row>
    <row r="29" spans="1:5" x14ac:dyDescent="0.35">
      <c r="A29" t="s">
        <v>117</v>
      </c>
      <c r="B29" t="s">
        <v>76</v>
      </c>
      <c r="C29" t="s">
        <v>77</v>
      </c>
    </row>
    <row r="30" spans="1:5" x14ac:dyDescent="0.35">
      <c r="A30" t="s">
        <v>118</v>
      </c>
      <c r="B30" t="s">
        <v>115</v>
      </c>
      <c r="C30" t="s">
        <v>119</v>
      </c>
      <c r="D30" t="s">
        <v>90</v>
      </c>
      <c r="E30" t="s">
        <v>120</v>
      </c>
    </row>
    <row r="31" spans="1:5" x14ac:dyDescent="0.35">
      <c r="A31" t="s">
        <v>121</v>
      </c>
      <c r="B31" t="s">
        <v>115</v>
      </c>
      <c r="C31" t="s">
        <v>119</v>
      </c>
      <c r="D31" t="s">
        <v>78</v>
      </c>
      <c r="E31" t="s">
        <v>85</v>
      </c>
    </row>
    <row r="32" spans="1:5" x14ac:dyDescent="0.35">
      <c r="A32" t="s">
        <v>122</v>
      </c>
      <c r="B32" t="s">
        <v>115</v>
      </c>
      <c r="C32" t="s">
        <v>119</v>
      </c>
      <c r="D32" t="s">
        <v>90</v>
      </c>
      <c r="E32" t="s">
        <v>123</v>
      </c>
    </row>
    <row r="33" spans="1:5" x14ac:dyDescent="0.35">
      <c r="A33" t="s">
        <v>124</v>
      </c>
      <c r="B33" t="s">
        <v>115</v>
      </c>
      <c r="C33" t="s">
        <v>125</v>
      </c>
    </row>
    <row r="34" spans="1:5" x14ac:dyDescent="0.35">
      <c r="A34" t="s">
        <v>126</v>
      </c>
      <c r="B34" t="s">
        <v>115</v>
      </c>
      <c r="C34" t="s">
        <v>116</v>
      </c>
    </row>
    <row r="35" spans="1:5" x14ac:dyDescent="0.35">
      <c r="A35" t="s">
        <v>127</v>
      </c>
      <c r="B35" t="s">
        <v>115</v>
      </c>
      <c r="C35" t="s">
        <v>128</v>
      </c>
      <c r="D35" t="s">
        <v>78</v>
      </c>
      <c r="E35" t="s">
        <v>79</v>
      </c>
    </row>
    <row r="36" spans="1:5" x14ac:dyDescent="0.35">
      <c r="A36" t="s">
        <v>129</v>
      </c>
      <c r="B36" t="s">
        <v>115</v>
      </c>
      <c r="C36" t="s">
        <v>128</v>
      </c>
      <c r="D36" t="s">
        <v>78</v>
      </c>
      <c r="E36" t="s">
        <v>79</v>
      </c>
    </row>
    <row r="37" spans="1:5" x14ac:dyDescent="0.35">
      <c r="A37" t="s">
        <v>130</v>
      </c>
      <c r="B37" t="s">
        <v>115</v>
      </c>
      <c r="C37" t="s">
        <v>131</v>
      </c>
      <c r="D37" t="s">
        <v>78</v>
      </c>
      <c r="E37" t="s">
        <v>79</v>
      </c>
    </row>
    <row r="38" spans="1:5" x14ac:dyDescent="0.35">
      <c r="A38" t="s">
        <v>132</v>
      </c>
      <c r="B38" t="s">
        <v>115</v>
      </c>
      <c r="C38" t="s">
        <v>119</v>
      </c>
      <c r="D38" t="s">
        <v>78</v>
      </c>
      <c r="E38" t="s">
        <v>85</v>
      </c>
    </row>
    <row r="39" spans="1:5" x14ac:dyDescent="0.35">
      <c r="A39" t="s">
        <v>133</v>
      </c>
      <c r="B39" t="s">
        <v>115</v>
      </c>
      <c r="C39" t="s">
        <v>134</v>
      </c>
      <c r="D39" t="s">
        <v>78</v>
      </c>
      <c r="E39" t="s">
        <v>79</v>
      </c>
    </row>
    <row r="40" spans="1:5" x14ac:dyDescent="0.35">
      <c r="A40" t="s">
        <v>135</v>
      </c>
      <c r="B40" t="s">
        <v>115</v>
      </c>
      <c r="C40" t="s">
        <v>119</v>
      </c>
      <c r="D40" t="s">
        <v>90</v>
      </c>
      <c r="E40" t="s">
        <v>136</v>
      </c>
    </row>
    <row r="41" spans="1:5" x14ac:dyDescent="0.35">
      <c r="A41" t="s">
        <v>137</v>
      </c>
      <c r="B41" t="s">
        <v>115</v>
      </c>
      <c r="C41" t="s">
        <v>119</v>
      </c>
      <c r="D41" t="s">
        <v>90</v>
      </c>
      <c r="E41" t="s">
        <v>123</v>
      </c>
    </row>
    <row r="42" spans="1:5" x14ac:dyDescent="0.35">
      <c r="A42" t="s">
        <v>138</v>
      </c>
      <c r="B42" t="s">
        <v>115</v>
      </c>
      <c r="C42" t="s">
        <v>139</v>
      </c>
      <c r="D42" t="s">
        <v>78</v>
      </c>
      <c r="E42" t="s">
        <v>79</v>
      </c>
    </row>
    <row r="43" spans="1:5" x14ac:dyDescent="0.35">
      <c r="A43" t="s">
        <v>140</v>
      </c>
      <c r="B43" t="s">
        <v>115</v>
      </c>
      <c r="C43" t="s">
        <v>141</v>
      </c>
      <c r="D43" t="s">
        <v>78</v>
      </c>
      <c r="E43" t="s">
        <v>79</v>
      </c>
    </row>
    <row r="44" spans="1:5" x14ac:dyDescent="0.35">
      <c r="A44" t="s">
        <v>142</v>
      </c>
      <c r="B44" t="s">
        <v>115</v>
      </c>
      <c r="C44" t="s">
        <v>139</v>
      </c>
      <c r="D44" t="s">
        <v>78</v>
      </c>
      <c r="E44" t="s">
        <v>79</v>
      </c>
    </row>
    <row r="45" spans="1:5" x14ac:dyDescent="0.35">
      <c r="A45" t="s">
        <v>143</v>
      </c>
      <c r="B45" t="s">
        <v>115</v>
      </c>
      <c r="C45" t="s">
        <v>144</v>
      </c>
    </row>
    <row r="46" spans="1:5" x14ac:dyDescent="0.35">
      <c r="A46" t="s">
        <v>145</v>
      </c>
      <c r="B46" t="s">
        <v>115</v>
      </c>
      <c r="C46" t="s">
        <v>139</v>
      </c>
      <c r="D46" t="s">
        <v>78</v>
      </c>
      <c r="E46" t="s">
        <v>79</v>
      </c>
    </row>
    <row r="47" spans="1:5" x14ac:dyDescent="0.35">
      <c r="A47" t="s">
        <v>146</v>
      </c>
      <c r="B47" t="s">
        <v>115</v>
      </c>
      <c r="C47" t="s">
        <v>116</v>
      </c>
    </row>
    <row r="48" spans="1:5" x14ac:dyDescent="0.35">
      <c r="A48" t="s">
        <v>147</v>
      </c>
      <c r="B48" t="s">
        <v>76</v>
      </c>
      <c r="C48" t="s">
        <v>77</v>
      </c>
    </row>
    <row r="49" spans="1:5" x14ac:dyDescent="0.35">
      <c r="A49" t="s">
        <v>148</v>
      </c>
      <c r="B49" t="s">
        <v>76</v>
      </c>
      <c r="C49" t="s">
        <v>77</v>
      </c>
    </row>
    <row r="50" spans="1:5" x14ac:dyDescent="0.35">
      <c r="A50" t="s">
        <v>149</v>
      </c>
      <c r="B50" t="s">
        <v>76</v>
      </c>
      <c r="C50" t="s">
        <v>77</v>
      </c>
    </row>
    <row r="51" spans="1:5" x14ac:dyDescent="0.35">
      <c r="A51" t="s">
        <v>150</v>
      </c>
      <c r="B51" t="s">
        <v>76</v>
      </c>
      <c r="C51" t="s">
        <v>77</v>
      </c>
    </row>
    <row r="52" spans="1:5" x14ac:dyDescent="0.35">
      <c r="A52" t="s">
        <v>151</v>
      </c>
      <c r="B52" t="s">
        <v>76</v>
      </c>
      <c r="C52" t="s">
        <v>77</v>
      </c>
    </row>
    <row r="53" spans="1:5" x14ac:dyDescent="0.35">
      <c r="A53" t="s">
        <v>152</v>
      </c>
      <c r="B53" t="s">
        <v>76</v>
      </c>
      <c r="C53" t="s">
        <v>77</v>
      </c>
    </row>
    <row r="54" spans="1:5" x14ac:dyDescent="0.35">
      <c r="A54" t="s">
        <v>153</v>
      </c>
      <c r="B54" t="s">
        <v>76</v>
      </c>
      <c r="C54" t="s">
        <v>77</v>
      </c>
    </row>
    <row r="55" spans="1:5" x14ac:dyDescent="0.35">
      <c r="A55" t="s">
        <v>154</v>
      </c>
      <c r="B55" t="s">
        <v>76</v>
      </c>
      <c r="C55" t="s">
        <v>77</v>
      </c>
    </row>
    <row r="56" spans="1:5" x14ac:dyDescent="0.35">
      <c r="A56" t="s">
        <v>155</v>
      </c>
      <c r="B56" t="s">
        <v>76</v>
      </c>
      <c r="C56" t="s">
        <v>77</v>
      </c>
    </row>
    <row r="57" spans="1:5" x14ac:dyDescent="0.35">
      <c r="A57" t="s">
        <v>156</v>
      </c>
      <c r="B57" t="s">
        <v>76</v>
      </c>
      <c r="C57" t="s">
        <v>77</v>
      </c>
    </row>
    <row r="58" spans="1:5" x14ac:dyDescent="0.35">
      <c r="A58" t="s">
        <v>157</v>
      </c>
      <c r="B58" t="s">
        <v>76</v>
      </c>
      <c r="C58" t="s">
        <v>77</v>
      </c>
    </row>
    <row r="59" spans="1:5" x14ac:dyDescent="0.35">
      <c r="A59" t="s">
        <v>158</v>
      </c>
      <c r="B59" t="s">
        <v>76</v>
      </c>
      <c r="C59" t="s">
        <v>77</v>
      </c>
    </row>
    <row r="60" spans="1:5" x14ac:dyDescent="0.35">
      <c r="A60" t="s">
        <v>159</v>
      </c>
      <c r="B60" t="s">
        <v>115</v>
      </c>
      <c r="C60" t="s">
        <v>160</v>
      </c>
    </row>
    <row r="61" spans="1:5" x14ac:dyDescent="0.35">
      <c r="A61" t="s">
        <v>161</v>
      </c>
      <c r="B61" t="s">
        <v>115</v>
      </c>
      <c r="C61" t="s">
        <v>162</v>
      </c>
      <c r="E61" t="s">
        <v>79</v>
      </c>
    </row>
    <row r="62" spans="1:5" x14ac:dyDescent="0.35">
      <c r="A62" t="s">
        <v>163</v>
      </c>
      <c r="B62" t="s">
        <v>115</v>
      </c>
      <c r="C62" t="s">
        <v>164</v>
      </c>
    </row>
    <row r="63" spans="1:5" x14ac:dyDescent="0.35">
      <c r="A63" t="s">
        <v>165</v>
      </c>
      <c r="B63" t="s">
        <v>115</v>
      </c>
      <c r="C63" t="s">
        <v>166</v>
      </c>
      <c r="E63" t="s">
        <v>79</v>
      </c>
    </row>
    <row r="64" spans="1:5" x14ac:dyDescent="0.35">
      <c r="A64" t="s">
        <v>167</v>
      </c>
      <c r="B64" t="s">
        <v>115</v>
      </c>
      <c r="C64" t="s">
        <v>139</v>
      </c>
      <c r="E64" t="s">
        <v>79</v>
      </c>
    </row>
    <row r="65" spans="1:5" x14ac:dyDescent="0.35">
      <c r="A65" t="s">
        <v>168</v>
      </c>
      <c r="B65" t="s">
        <v>115</v>
      </c>
      <c r="C65" t="s">
        <v>139</v>
      </c>
      <c r="E65" t="s">
        <v>169</v>
      </c>
    </row>
    <row r="66" spans="1:5" x14ac:dyDescent="0.35">
      <c r="A66" t="s">
        <v>170</v>
      </c>
      <c r="B66" t="s">
        <v>115</v>
      </c>
      <c r="C66" t="s">
        <v>171</v>
      </c>
      <c r="E66" t="s">
        <v>79</v>
      </c>
    </row>
    <row r="67" spans="1:5" x14ac:dyDescent="0.35">
      <c r="A67" t="s">
        <v>172</v>
      </c>
      <c r="B67" t="s">
        <v>115</v>
      </c>
      <c r="C67" t="s">
        <v>131</v>
      </c>
      <c r="E67" t="s">
        <v>79</v>
      </c>
    </row>
    <row r="68" spans="1:5" x14ac:dyDescent="0.35">
      <c r="A68" t="s">
        <v>173</v>
      </c>
      <c r="B68" t="s">
        <v>115</v>
      </c>
      <c r="C68" t="s">
        <v>174</v>
      </c>
      <c r="E68" t="s">
        <v>79</v>
      </c>
    </row>
    <row r="69" spans="1:5" x14ac:dyDescent="0.35">
      <c r="A69" t="s">
        <v>175</v>
      </c>
      <c r="B69" t="s">
        <v>115</v>
      </c>
      <c r="C69" t="s">
        <v>176</v>
      </c>
      <c r="E69" t="s">
        <v>177</v>
      </c>
    </row>
    <row r="70" spans="1:5" x14ac:dyDescent="0.35">
      <c r="A70" t="s">
        <v>178</v>
      </c>
      <c r="B70" t="s">
        <v>115</v>
      </c>
      <c r="C70" t="s">
        <v>174</v>
      </c>
      <c r="E70" t="s">
        <v>79</v>
      </c>
    </row>
    <row r="71" spans="1:5" x14ac:dyDescent="0.35">
      <c r="A71" t="s">
        <v>179</v>
      </c>
      <c r="B71" t="s">
        <v>115</v>
      </c>
      <c r="C71" t="s">
        <v>180</v>
      </c>
      <c r="E71" t="s">
        <v>181</v>
      </c>
    </row>
    <row r="72" spans="1:5" x14ac:dyDescent="0.35">
      <c r="A72" t="s">
        <v>182</v>
      </c>
      <c r="B72" t="s">
        <v>115</v>
      </c>
      <c r="C72" t="s">
        <v>176</v>
      </c>
      <c r="E72" t="s">
        <v>181</v>
      </c>
    </row>
    <row r="73" spans="1:5" x14ac:dyDescent="0.35">
      <c r="A73" t="s">
        <v>183</v>
      </c>
      <c r="B73" t="s">
        <v>115</v>
      </c>
      <c r="C73" t="s">
        <v>176</v>
      </c>
      <c r="E73" t="s">
        <v>181</v>
      </c>
    </row>
    <row r="74" spans="1:5" x14ac:dyDescent="0.35">
      <c r="A74" t="s">
        <v>184</v>
      </c>
      <c r="B74" t="s">
        <v>115</v>
      </c>
      <c r="C74" t="s">
        <v>185</v>
      </c>
    </row>
    <row r="75" spans="1:5" x14ac:dyDescent="0.35">
      <c r="A75" t="s">
        <v>186</v>
      </c>
      <c r="B75" t="s">
        <v>115</v>
      </c>
      <c r="C75" t="s">
        <v>187</v>
      </c>
    </row>
    <row r="76" spans="1:5" x14ac:dyDescent="0.35">
      <c r="A76" t="s">
        <v>188</v>
      </c>
      <c r="B76" t="s">
        <v>115</v>
      </c>
      <c r="C76" t="s">
        <v>187</v>
      </c>
    </row>
    <row r="77" spans="1:5" x14ac:dyDescent="0.35">
      <c r="A77" t="s">
        <v>189</v>
      </c>
      <c r="B77" t="s">
        <v>115</v>
      </c>
      <c r="C77" t="s">
        <v>119</v>
      </c>
    </row>
    <row r="78" spans="1:5" x14ac:dyDescent="0.35">
      <c r="A78" t="s">
        <v>190</v>
      </c>
      <c r="B78" t="s">
        <v>115</v>
      </c>
      <c r="C78" t="s">
        <v>191</v>
      </c>
    </row>
    <row r="79" spans="1:5" x14ac:dyDescent="0.35">
      <c r="A79" t="s">
        <v>192</v>
      </c>
    </row>
    <row r="80" spans="1:5" x14ac:dyDescent="0.35">
      <c r="A80" t="s">
        <v>193</v>
      </c>
      <c r="B80" t="s">
        <v>76</v>
      </c>
      <c r="C80" t="s">
        <v>77</v>
      </c>
      <c r="E80" t="s">
        <v>194</v>
      </c>
    </row>
    <row r="81" spans="1:5" x14ac:dyDescent="0.35">
      <c r="A81" t="s">
        <v>195</v>
      </c>
      <c r="B81" t="s">
        <v>76</v>
      </c>
      <c r="C81" t="s">
        <v>77</v>
      </c>
      <c r="E81" t="s">
        <v>196</v>
      </c>
    </row>
    <row r="82" spans="1:5" x14ac:dyDescent="0.35">
      <c r="A82" t="s">
        <v>197</v>
      </c>
      <c r="B82" t="s">
        <v>76</v>
      </c>
      <c r="C82" t="s">
        <v>77</v>
      </c>
      <c r="E82" t="s">
        <v>198</v>
      </c>
    </row>
    <row r="83" spans="1:5" x14ac:dyDescent="0.35">
      <c r="A83" t="s">
        <v>199</v>
      </c>
      <c r="B83" t="s">
        <v>76</v>
      </c>
      <c r="C83" t="s">
        <v>77</v>
      </c>
      <c r="E83" t="s">
        <v>200</v>
      </c>
    </row>
    <row r="84" spans="1:5" x14ac:dyDescent="0.35">
      <c r="A84" t="s">
        <v>201</v>
      </c>
      <c r="B84" t="s">
        <v>76</v>
      </c>
      <c r="C84" t="s">
        <v>77</v>
      </c>
      <c r="E84" t="s">
        <v>202</v>
      </c>
    </row>
    <row r="85" spans="1:5" x14ac:dyDescent="0.35">
      <c r="A85" t="s">
        <v>203</v>
      </c>
      <c r="B85" t="s">
        <v>115</v>
      </c>
      <c r="C85" t="s">
        <v>204</v>
      </c>
    </row>
    <row r="86" spans="1:5" x14ac:dyDescent="0.35">
      <c r="A86" t="s">
        <v>205</v>
      </c>
      <c r="B86" t="s">
        <v>115</v>
      </c>
      <c r="C86" t="s">
        <v>119</v>
      </c>
    </row>
    <row r="87" spans="1:5" x14ac:dyDescent="0.35">
      <c r="A87" t="s">
        <v>206</v>
      </c>
      <c r="B87" t="s">
        <v>115</v>
      </c>
      <c r="C87" t="s">
        <v>119</v>
      </c>
      <c r="D87" t="s">
        <v>78</v>
      </c>
      <c r="E87" t="s">
        <v>85</v>
      </c>
    </row>
    <row r="88" spans="1:5" x14ac:dyDescent="0.35">
      <c r="A88" t="s">
        <v>207</v>
      </c>
      <c r="B88" t="s">
        <v>115</v>
      </c>
      <c r="C88" t="s">
        <v>208</v>
      </c>
    </row>
    <row r="89" spans="1:5" x14ac:dyDescent="0.35">
      <c r="A89" t="s">
        <v>209</v>
      </c>
      <c r="B89" t="s">
        <v>115</v>
      </c>
      <c r="C89" t="s">
        <v>185</v>
      </c>
    </row>
    <row r="90" spans="1:5" x14ac:dyDescent="0.35">
      <c r="A90" t="s">
        <v>210</v>
      </c>
      <c r="B90" t="s">
        <v>76</v>
      </c>
      <c r="C90" t="s">
        <v>77</v>
      </c>
      <c r="E90" t="s">
        <v>211</v>
      </c>
    </row>
    <row r="91" spans="1:5" x14ac:dyDescent="0.35">
      <c r="A91" t="s">
        <v>212</v>
      </c>
      <c r="B91" t="s">
        <v>76</v>
      </c>
      <c r="C91" t="s">
        <v>77</v>
      </c>
      <c r="E91" t="s">
        <v>213</v>
      </c>
    </row>
    <row r="92" spans="1:5" x14ac:dyDescent="0.35">
      <c r="A92" t="s">
        <v>214</v>
      </c>
      <c r="B92" t="s">
        <v>76</v>
      </c>
      <c r="C92" t="s">
        <v>77</v>
      </c>
      <c r="E92" t="s">
        <v>215</v>
      </c>
    </row>
    <row r="93" spans="1:5" x14ac:dyDescent="0.35">
      <c r="A93" t="s">
        <v>216</v>
      </c>
      <c r="B93" t="s">
        <v>76</v>
      </c>
      <c r="C93" t="s">
        <v>77</v>
      </c>
      <c r="E93" t="s">
        <v>217</v>
      </c>
    </row>
    <row r="94" spans="1:5" x14ac:dyDescent="0.35">
      <c r="A94" t="s">
        <v>218</v>
      </c>
      <c r="B94" t="s">
        <v>76</v>
      </c>
      <c r="C94" t="s">
        <v>77</v>
      </c>
      <c r="E94" t="s">
        <v>219</v>
      </c>
    </row>
    <row r="95" spans="1:5" x14ac:dyDescent="0.35">
      <c r="A95" t="s">
        <v>220</v>
      </c>
      <c r="B95" t="s">
        <v>76</v>
      </c>
      <c r="C95" t="s">
        <v>77</v>
      </c>
      <c r="E95" t="s">
        <v>221</v>
      </c>
    </row>
    <row r="96" spans="1:5" x14ac:dyDescent="0.35">
      <c r="A96" t="s">
        <v>222</v>
      </c>
      <c r="B96" t="s">
        <v>76</v>
      </c>
      <c r="C96" t="s">
        <v>77</v>
      </c>
      <c r="E96" t="s">
        <v>223</v>
      </c>
    </row>
    <row r="97" spans="1:5" x14ac:dyDescent="0.35">
      <c r="A97" t="s">
        <v>224</v>
      </c>
      <c r="B97" t="s">
        <v>115</v>
      </c>
      <c r="C97" t="s">
        <v>225</v>
      </c>
    </row>
    <row r="98" spans="1:5" x14ac:dyDescent="0.35">
      <c r="A98" t="s">
        <v>226</v>
      </c>
      <c r="B98" t="s">
        <v>115</v>
      </c>
      <c r="C98" t="s">
        <v>227</v>
      </c>
    </row>
    <row r="99" spans="1:5" x14ac:dyDescent="0.35">
      <c r="A99" t="s">
        <v>228</v>
      </c>
      <c r="B99" t="s">
        <v>115</v>
      </c>
      <c r="C99" t="s">
        <v>225</v>
      </c>
    </row>
    <row r="100" spans="1:5" x14ac:dyDescent="0.35">
      <c r="A100" t="s">
        <v>229</v>
      </c>
      <c r="B100" t="s">
        <v>115</v>
      </c>
      <c r="C100" t="s">
        <v>230</v>
      </c>
    </row>
    <row r="101" spans="1:5" x14ac:dyDescent="0.35">
      <c r="A101" t="s">
        <v>231</v>
      </c>
      <c r="B101" t="s">
        <v>115</v>
      </c>
      <c r="C101" t="s">
        <v>232</v>
      </c>
    </row>
    <row r="102" spans="1:5" x14ac:dyDescent="0.35">
      <c r="A102" t="s">
        <v>233</v>
      </c>
      <c r="B102" t="s">
        <v>115</v>
      </c>
      <c r="C102" t="s">
        <v>232</v>
      </c>
    </row>
    <row r="103" spans="1:5" x14ac:dyDescent="0.35">
      <c r="A103" t="s">
        <v>234</v>
      </c>
      <c r="B103" t="s">
        <v>115</v>
      </c>
      <c r="C103" t="s">
        <v>174</v>
      </c>
    </row>
    <row r="104" spans="1:5" x14ac:dyDescent="0.35">
      <c r="A104" t="s">
        <v>235</v>
      </c>
      <c r="B104" t="s">
        <v>76</v>
      </c>
      <c r="C104" t="s">
        <v>77</v>
      </c>
      <c r="E104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DFE8-52DC-4BBA-AA2F-F4DEC846CA2C}">
  <dimension ref="A1:B85"/>
  <sheetViews>
    <sheetView workbookViewId="0">
      <selection activeCell="E1" sqref="E1"/>
    </sheetView>
  </sheetViews>
  <sheetFormatPr baseColWidth="10" defaultRowHeight="14.5" x14ac:dyDescent="0.35"/>
  <cols>
    <col min="1" max="1" width="14.90625" customWidth="1"/>
    <col min="2" max="2" width="27.36328125" customWidth="1"/>
  </cols>
  <sheetData>
    <row r="1" spans="1:2" ht="16" x14ac:dyDescent="0.4">
      <c r="A1" s="31" t="s">
        <v>391</v>
      </c>
      <c r="B1" s="32" t="s">
        <v>236</v>
      </c>
    </row>
    <row r="2" spans="1:2" x14ac:dyDescent="0.35">
      <c r="A2" s="29" t="s">
        <v>392</v>
      </c>
      <c r="B2" s="30" t="s">
        <v>393</v>
      </c>
    </row>
    <row r="3" spans="1:2" x14ac:dyDescent="0.35">
      <c r="A3" s="29" t="s">
        <v>394</v>
      </c>
      <c r="B3" s="30" t="s">
        <v>393</v>
      </c>
    </row>
    <row r="4" spans="1:2" x14ac:dyDescent="0.35">
      <c r="A4" s="29" t="s">
        <v>395</v>
      </c>
      <c r="B4" s="30" t="s">
        <v>261</v>
      </c>
    </row>
    <row r="5" spans="1:2" x14ac:dyDescent="0.35">
      <c r="A5" s="29" t="s">
        <v>396</v>
      </c>
      <c r="B5" s="30" t="s">
        <v>261</v>
      </c>
    </row>
    <row r="6" spans="1:2" x14ac:dyDescent="0.35">
      <c r="A6" s="29" t="s">
        <v>397</v>
      </c>
      <c r="B6" s="30" t="s">
        <v>393</v>
      </c>
    </row>
    <row r="7" spans="1:2" x14ac:dyDescent="0.35">
      <c r="A7" s="29" t="s">
        <v>398</v>
      </c>
      <c r="B7" s="30" t="s">
        <v>399</v>
      </c>
    </row>
    <row r="8" spans="1:2" x14ac:dyDescent="0.35">
      <c r="A8" s="29" t="s">
        <v>400</v>
      </c>
      <c r="B8" s="30" t="s">
        <v>399</v>
      </c>
    </row>
    <row r="9" spans="1:2" x14ac:dyDescent="0.35">
      <c r="A9" s="29" t="s">
        <v>401</v>
      </c>
      <c r="B9" s="30" t="s">
        <v>402</v>
      </c>
    </row>
    <row r="10" spans="1:2" x14ac:dyDescent="0.35">
      <c r="A10" s="29" t="s">
        <v>403</v>
      </c>
      <c r="B10" s="30" t="s">
        <v>402</v>
      </c>
    </row>
    <row r="11" spans="1:2" x14ac:dyDescent="0.35">
      <c r="A11" s="29" t="s">
        <v>404</v>
      </c>
      <c r="B11" s="30" t="s">
        <v>405</v>
      </c>
    </row>
    <row r="12" spans="1:2" x14ac:dyDescent="0.35">
      <c r="A12" s="29" t="s">
        <v>406</v>
      </c>
      <c r="B12" s="30" t="s">
        <v>405</v>
      </c>
    </row>
    <row r="13" spans="1:2" x14ac:dyDescent="0.35">
      <c r="A13" s="29" t="s">
        <v>407</v>
      </c>
      <c r="B13" s="30" t="s">
        <v>408</v>
      </c>
    </row>
    <row r="14" spans="1:2" x14ac:dyDescent="0.35">
      <c r="A14" s="29" t="s">
        <v>409</v>
      </c>
      <c r="B14" s="30" t="s">
        <v>408</v>
      </c>
    </row>
    <row r="15" spans="1:2" x14ac:dyDescent="0.35">
      <c r="A15" s="29" t="s">
        <v>410</v>
      </c>
      <c r="B15" s="30" t="s">
        <v>411</v>
      </c>
    </row>
    <row r="16" spans="1:2" x14ac:dyDescent="0.35">
      <c r="A16" s="29" t="s">
        <v>412</v>
      </c>
      <c r="B16" s="30" t="s">
        <v>413</v>
      </c>
    </row>
    <row r="17" spans="1:2" x14ac:dyDescent="0.35">
      <c r="A17" s="29" t="s">
        <v>414</v>
      </c>
      <c r="B17" s="30" t="s">
        <v>413</v>
      </c>
    </row>
    <row r="18" spans="1:2" x14ac:dyDescent="0.35">
      <c r="A18" s="29" t="s">
        <v>415</v>
      </c>
      <c r="B18" s="30" t="s">
        <v>416</v>
      </c>
    </row>
    <row r="19" spans="1:2" x14ac:dyDescent="0.35">
      <c r="A19" s="29" t="s">
        <v>417</v>
      </c>
      <c r="B19" s="30" t="s">
        <v>418</v>
      </c>
    </row>
    <row r="20" spans="1:2" x14ac:dyDescent="0.35">
      <c r="A20" s="29" t="s">
        <v>419</v>
      </c>
      <c r="B20" s="30" t="s">
        <v>420</v>
      </c>
    </row>
    <row r="21" spans="1:2" x14ac:dyDescent="0.35">
      <c r="A21" s="29" t="s">
        <v>421</v>
      </c>
      <c r="B21" s="30" t="s">
        <v>422</v>
      </c>
    </row>
    <row r="22" spans="1:2" x14ac:dyDescent="0.35">
      <c r="A22" s="29" t="s">
        <v>423</v>
      </c>
      <c r="B22" s="30" t="s">
        <v>422</v>
      </c>
    </row>
    <row r="23" spans="1:2" x14ac:dyDescent="0.35">
      <c r="A23" s="29" t="s">
        <v>424</v>
      </c>
      <c r="B23" s="30" t="s">
        <v>422</v>
      </c>
    </row>
    <row r="24" spans="1:2" x14ac:dyDescent="0.35">
      <c r="A24" s="29" t="s">
        <v>425</v>
      </c>
      <c r="B24" s="30" t="s">
        <v>426</v>
      </c>
    </row>
    <row r="25" spans="1:2" x14ac:dyDescent="0.35">
      <c r="A25" s="29" t="s">
        <v>427</v>
      </c>
      <c r="B25" s="30" t="s">
        <v>428</v>
      </c>
    </row>
    <row r="26" spans="1:2" x14ac:dyDescent="0.35">
      <c r="A26" s="29" t="s">
        <v>429</v>
      </c>
      <c r="B26" s="30" t="s">
        <v>430</v>
      </c>
    </row>
    <row r="27" spans="1:2" x14ac:dyDescent="0.35">
      <c r="A27" s="29" t="s">
        <v>431</v>
      </c>
      <c r="B27" s="30" t="s">
        <v>432</v>
      </c>
    </row>
    <row r="28" spans="1:2" x14ac:dyDescent="0.35">
      <c r="A28" s="29" t="s">
        <v>433</v>
      </c>
      <c r="B28" s="30" t="s">
        <v>434</v>
      </c>
    </row>
    <row r="29" spans="1:2" x14ac:dyDescent="0.35">
      <c r="A29" s="29" t="s">
        <v>435</v>
      </c>
      <c r="B29" s="30" t="s">
        <v>436</v>
      </c>
    </row>
    <row r="30" spans="1:2" x14ac:dyDescent="0.35">
      <c r="A30" s="29" t="s">
        <v>437</v>
      </c>
      <c r="B30" s="30" t="s">
        <v>408</v>
      </c>
    </row>
    <row r="31" spans="1:2" x14ac:dyDescent="0.35">
      <c r="A31" s="29" t="s">
        <v>438</v>
      </c>
      <c r="B31" s="30" t="s">
        <v>422</v>
      </c>
    </row>
    <row r="32" spans="1:2" x14ac:dyDescent="0.35">
      <c r="A32" s="29" t="s">
        <v>439</v>
      </c>
      <c r="B32" s="30" t="s">
        <v>420</v>
      </c>
    </row>
    <row r="33" spans="1:2" x14ac:dyDescent="0.35">
      <c r="A33" s="29" t="s">
        <v>440</v>
      </c>
      <c r="B33" s="30" t="s">
        <v>426</v>
      </c>
    </row>
    <row r="34" spans="1:2" x14ac:dyDescent="0.35">
      <c r="A34" s="29" t="s">
        <v>441</v>
      </c>
      <c r="B34" s="30" t="s">
        <v>422</v>
      </c>
    </row>
    <row r="35" spans="1:2" x14ac:dyDescent="0.35">
      <c r="A35" s="29" t="s">
        <v>442</v>
      </c>
      <c r="B35" s="30" t="s">
        <v>443</v>
      </c>
    </row>
    <row r="36" spans="1:2" x14ac:dyDescent="0.35">
      <c r="A36" s="29" t="s">
        <v>444</v>
      </c>
      <c r="B36" s="30" t="s">
        <v>445</v>
      </c>
    </row>
    <row r="37" spans="1:2" x14ac:dyDescent="0.35">
      <c r="A37" s="29" t="s">
        <v>446</v>
      </c>
      <c r="B37" s="30" t="s">
        <v>447</v>
      </c>
    </row>
    <row r="38" spans="1:2" x14ac:dyDescent="0.35">
      <c r="A38" s="29" t="s">
        <v>448</v>
      </c>
      <c r="B38" s="30" t="s">
        <v>402</v>
      </c>
    </row>
    <row r="39" spans="1:2" x14ac:dyDescent="0.35">
      <c r="A39" s="29" t="s">
        <v>449</v>
      </c>
      <c r="B39" s="30" t="s">
        <v>450</v>
      </c>
    </row>
    <row r="40" spans="1:2" x14ac:dyDescent="0.35">
      <c r="A40" s="29" t="s">
        <v>451</v>
      </c>
      <c r="B40" s="30" t="s">
        <v>452</v>
      </c>
    </row>
    <row r="41" spans="1:2" x14ac:dyDescent="0.35">
      <c r="A41" s="29" t="s">
        <v>453</v>
      </c>
      <c r="B41" s="30" t="s">
        <v>454</v>
      </c>
    </row>
    <row r="42" spans="1:2" x14ac:dyDescent="0.35">
      <c r="A42" s="29" t="s">
        <v>455</v>
      </c>
      <c r="B42" s="30" t="s">
        <v>454</v>
      </c>
    </row>
    <row r="43" spans="1:2" x14ac:dyDescent="0.35">
      <c r="A43" s="29" t="s">
        <v>456</v>
      </c>
      <c r="B43" s="30" t="s">
        <v>457</v>
      </c>
    </row>
    <row r="44" spans="1:2" x14ac:dyDescent="0.35">
      <c r="A44" s="29" t="s">
        <v>458</v>
      </c>
      <c r="B44" s="30" t="s">
        <v>459</v>
      </c>
    </row>
    <row r="45" spans="1:2" x14ac:dyDescent="0.35">
      <c r="A45" s="29" t="s">
        <v>460</v>
      </c>
      <c r="B45" s="30" t="s">
        <v>405</v>
      </c>
    </row>
    <row r="46" spans="1:2" x14ac:dyDescent="0.35">
      <c r="A46" s="29" t="s">
        <v>461</v>
      </c>
      <c r="B46" s="30" t="s">
        <v>462</v>
      </c>
    </row>
    <row r="47" spans="1:2" x14ac:dyDescent="0.35">
      <c r="A47" s="29" t="s">
        <v>463</v>
      </c>
      <c r="B47" s="30" t="s">
        <v>464</v>
      </c>
    </row>
    <row r="48" spans="1:2" x14ac:dyDescent="0.35">
      <c r="A48" s="29" t="s">
        <v>465</v>
      </c>
      <c r="B48" s="30" t="s">
        <v>462</v>
      </c>
    </row>
    <row r="49" spans="1:2" x14ac:dyDescent="0.35">
      <c r="A49" s="29" t="s">
        <v>466</v>
      </c>
      <c r="B49" s="30" t="s">
        <v>467</v>
      </c>
    </row>
    <row r="50" spans="1:2" x14ac:dyDescent="0.35">
      <c r="A50" s="29" t="s">
        <v>468</v>
      </c>
      <c r="B50" s="30" t="s">
        <v>467</v>
      </c>
    </row>
    <row r="51" spans="1:2" x14ac:dyDescent="0.35">
      <c r="A51" s="29" t="s">
        <v>469</v>
      </c>
      <c r="B51" s="30" t="s">
        <v>470</v>
      </c>
    </row>
    <row r="52" spans="1:2" x14ac:dyDescent="0.35">
      <c r="A52" s="29" t="s">
        <v>471</v>
      </c>
      <c r="B52" s="30" t="s">
        <v>472</v>
      </c>
    </row>
    <row r="53" spans="1:2" x14ac:dyDescent="0.35">
      <c r="A53" s="29" t="s">
        <v>473</v>
      </c>
      <c r="B53" s="30" t="s">
        <v>474</v>
      </c>
    </row>
    <row r="54" spans="1:2" x14ac:dyDescent="0.35">
      <c r="A54" s="29" t="s">
        <v>475</v>
      </c>
      <c r="B54" s="30" t="s">
        <v>476</v>
      </c>
    </row>
    <row r="55" spans="1:2" x14ac:dyDescent="0.35">
      <c r="A55" s="29" t="s">
        <v>477</v>
      </c>
      <c r="B55" s="30" t="s">
        <v>478</v>
      </c>
    </row>
    <row r="56" spans="1:2" x14ac:dyDescent="0.35">
      <c r="A56" s="29" t="s">
        <v>479</v>
      </c>
      <c r="B56" s="30" t="s">
        <v>405</v>
      </c>
    </row>
    <row r="57" spans="1:2" x14ac:dyDescent="0.35">
      <c r="A57" s="29" t="s">
        <v>480</v>
      </c>
      <c r="B57" s="30" t="s">
        <v>399</v>
      </c>
    </row>
    <row r="58" spans="1:2" x14ac:dyDescent="0.35">
      <c r="A58" s="29" t="s">
        <v>481</v>
      </c>
      <c r="B58" s="30" t="s">
        <v>426</v>
      </c>
    </row>
    <row r="59" spans="1:2" x14ac:dyDescent="0.35">
      <c r="A59" s="29" t="s">
        <v>482</v>
      </c>
      <c r="B59" s="30" t="s">
        <v>422</v>
      </c>
    </row>
    <row r="60" spans="1:2" x14ac:dyDescent="0.35">
      <c r="A60" s="29" t="s">
        <v>483</v>
      </c>
      <c r="B60" s="30" t="s">
        <v>422</v>
      </c>
    </row>
    <row r="61" spans="1:2" x14ac:dyDescent="0.35">
      <c r="A61" s="29" t="s">
        <v>484</v>
      </c>
      <c r="B61" s="30" t="s">
        <v>445</v>
      </c>
    </row>
    <row r="62" spans="1:2" x14ac:dyDescent="0.35">
      <c r="A62" s="29" t="s">
        <v>485</v>
      </c>
      <c r="B62" s="30" t="s">
        <v>426</v>
      </c>
    </row>
    <row r="63" spans="1:2" x14ac:dyDescent="0.35">
      <c r="A63" s="29" t="s">
        <v>486</v>
      </c>
      <c r="B63" s="30" t="s">
        <v>487</v>
      </c>
    </row>
    <row r="64" spans="1:2" x14ac:dyDescent="0.35">
      <c r="A64" s="29" t="s">
        <v>488</v>
      </c>
      <c r="B64" s="30" t="s">
        <v>426</v>
      </c>
    </row>
    <row r="65" spans="1:2" x14ac:dyDescent="0.35">
      <c r="A65" s="29" t="s">
        <v>489</v>
      </c>
      <c r="B65" s="30" t="s">
        <v>490</v>
      </c>
    </row>
    <row r="66" spans="1:2" x14ac:dyDescent="0.35">
      <c r="A66" s="29" t="s">
        <v>491</v>
      </c>
      <c r="B66" s="30" t="s">
        <v>487</v>
      </c>
    </row>
    <row r="67" spans="1:2" x14ac:dyDescent="0.35">
      <c r="A67" s="29" t="s">
        <v>192</v>
      </c>
      <c r="B67" s="30"/>
    </row>
    <row r="68" spans="1:2" x14ac:dyDescent="0.35">
      <c r="A68" s="29" t="s">
        <v>492</v>
      </c>
      <c r="B68" s="30" t="s">
        <v>422</v>
      </c>
    </row>
    <row r="69" spans="1:2" x14ac:dyDescent="0.35">
      <c r="A69" s="29" t="s">
        <v>493</v>
      </c>
      <c r="B69" s="30" t="s">
        <v>422</v>
      </c>
    </row>
    <row r="70" spans="1:2" x14ac:dyDescent="0.35">
      <c r="A70" s="29" t="s">
        <v>494</v>
      </c>
      <c r="B70" s="30" t="s">
        <v>413</v>
      </c>
    </row>
    <row r="71" spans="1:2" x14ac:dyDescent="0.35">
      <c r="A71" s="29" t="s">
        <v>495</v>
      </c>
      <c r="B71" s="30" t="s">
        <v>496</v>
      </c>
    </row>
    <row r="72" spans="1:2" x14ac:dyDescent="0.35">
      <c r="A72" s="29" t="s">
        <v>497</v>
      </c>
      <c r="B72" s="30" t="s">
        <v>399</v>
      </c>
    </row>
    <row r="73" spans="1:2" x14ac:dyDescent="0.35">
      <c r="A73" s="29" t="s">
        <v>498</v>
      </c>
      <c r="B73" s="30" t="s">
        <v>499</v>
      </c>
    </row>
    <row r="74" spans="1:2" x14ac:dyDescent="0.35">
      <c r="A74" s="29" t="s">
        <v>500</v>
      </c>
      <c r="B74" s="30" t="s">
        <v>501</v>
      </c>
    </row>
    <row r="75" spans="1:2" x14ac:dyDescent="0.35">
      <c r="A75" s="29" t="s">
        <v>502</v>
      </c>
      <c r="B75" s="30" t="s">
        <v>503</v>
      </c>
    </row>
    <row r="76" spans="1:2" x14ac:dyDescent="0.35">
      <c r="A76" s="29" t="s">
        <v>504</v>
      </c>
      <c r="B76" s="30" t="s">
        <v>505</v>
      </c>
    </row>
    <row r="77" spans="1:2" x14ac:dyDescent="0.35">
      <c r="A77" s="29" t="s">
        <v>506</v>
      </c>
      <c r="B77" s="30" t="s">
        <v>507</v>
      </c>
    </row>
    <row r="78" spans="1:2" x14ac:dyDescent="0.35">
      <c r="A78" s="29" t="s">
        <v>508</v>
      </c>
      <c r="B78" s="30" t="s">
        <v>509</v>
      </c>
    </row>
    <row r="79" spans="1:2" x14ac:dyDescent="0.35">
      <c r="A79" s="29" t="s">
        <v>510</v>
      </c>
      <c r="B79" s="30" t="s">
        <v>511</v>
      </c>
    </row>
    <row r="80" spans="1:2" x14ac:dyDescent="0.35">
      <c r="A80" s="29" t="s">
        <v>192</v>
      </c>
      <c r="B80" s="30"/>
    </row>
    <row r="81" spans="1:2" x14ac:dyDescent="0.35">
      <c r="A81" s="29" t="s">
        <v>512</v>
      </c>
      <c r="B81" s="30" t="s">
        <v>513</v>
      </c>
    </row>
    <row r="82" spans="1:2" x14ac:dyDescent="0.35">
      <c r="A82" s="29" t="s">
        <v>514</v>
      </c>
      <c r="B82" s="30" t="s">
        <v>515</v>
      </c>
    </row>
    <row r="83" spans="1:2" x14ac:dyDescent="0.35">
      <c r="A83" s="29" t="s">
        <v>516</v>
      </c>
      <c r="B83" s="30" t="s">
        <v>517</v>
      </c>
    </row>
    <row r="84" spans="1:2" x14ac:dyDescent="0.35">
      <c r="A84" s="29" t="s">
        <v>518</v>
      </c>
      <c r="B84" s="30" t="s">
        <v>520</v>
      </c>
    </row>
    <row r="85" spans="1:2" x14ac:dyDescent="0.35">
      <c r="A85" s="33" t="s">
        <v>519</v>
      </c>
      <c r="B85" s="34" t="s">
        <v>520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ABE2-40F3-435F-B2AD-2219044C451A}">
  <dimension ref="A1:D55"/>
  <sheetViews>
    <sheetView workbookViewId="0">
      <selection activeCell="B23" sqref="B23"/>
    </sheetView>
  </sheetViews>
  <sheetFormatPr baseColWidth="10" defaultRowHeight="14.5" x14ac:dyDescent="0.35"/>
  <cols>
    <col min="2" max="2" width="37.26953125" customWidth="1"/>
    <col min="4" max="4" width="17.453125" customWidth="1"/>
  </cols>
  <sheetData>
    <row r="1" spans="1:4" x14ac:dyDescent="0.35">
      <c r="A1" s="11" t="s">
        <v>9</v>
      </c>
      <c r="B1" s="11" t="s">
        <v>10</v>
      </c>
      <c r="C1" s="11" t="s">
        <v>3</v>
      </c>
      <c r="D1" s="11" t="s">
        <v>11</v>
      </c>
    </row>
    <row r="2" spans="1:4" x14ac:dyDescent="0.35">
      <c r="A2" s="12">
        <v>1</v>
      </c>
      <c r="B2" t="s">
        <v>12</v>
      </c>
      <c r="C2" t="s">
        <v>13</v>
      </c>
      <c r="D2" t="s">
        <v>14</v>
      </c>
    </row>
    <row r="3" spans="1:4" x14ac:dyDescent="0.35">
      <c r="A3" s="12">
        <v>3</v>
      </c>
      <c r="B3" t="s">
        <v>15</v>
      </c>
      <c r="C3" t="s">
        <v>13</v>
      </c>
      <c r="D3" t="s">
        <v>16</v>
      </c>
    </row>
    <row r="4" spans="1:4" x14ac:dyDescent="0.35">
      <c r="A4" s="12">
        <v>4</v>
      </c>
      <c r="B4" t="s">
        <v>17</v>
      </c>
      <c r="C4" t="s">
        <v>13</v>
      </c>
      <c r="D4" t="s">
        <v>16</v>
      </c>
    </row>
    <row r="5" spans="1:4" x14ac:dyDescent="0.35">
      <c r="A5" s="12">
        <v>6</v>
      </c>
      <c r="B5" t="s">
        <v>18</v>
      </c>
      <c r="C5" t="s">
        <v>13</v>
      </c>
      <c r="D5" t="s">
        <v>16</v>
      </c>
    </row>
    <row r="6" spans="1:4" x14ac:dyDescent="0.35">
      <c r="A6" s="12">
        <v>8</v>
      </c>
      <c r="B6" t="s">
        <v>19</v>
      </c>
      <c r="C6" t="s">
        <v>13</v>
      </c>
      <c r="D6" t="s">
        <v>16</v>
      </c>
    </row>
    <row r="7" spans="1:4" x14ac:dyDescent="0.35">
      <c r="A7" s="12">
        <v>9</v>
      </c>
      <c r="B7" t="s">
        <v>20</v>
      </c>
      <c r="C7" t="s">
        <v>13</v>
      </c>
      <c r="D7" t="s">
        <v>21</v>
      </c>
    </row>
    <row r="8" spans="1:4" x14ac:dyDescent="0.35">
      <c r="A8" s="12">
        <v>11</v>
      </c>
      <c r="B8" t="s">
        <v>22</v>
      </c>
      <c r="C8" t="s">
        <v>13</v>
      </c>
      <c r="D8" t="s">
        <v>16</v>
      </c>
    </row>
    <row r="9" spans="1:4" x14ac:dyDescent="0.35">
      <c r="A9" s="12">
        <v>12</v>
      </c>
      <c r="B9" t="s">
        <v>23</v>
      </c>
      <c r="C9" t="s">
        <v>13</v>
      </c>
      <c r="D9" t="s">
        <v>14</v>
      </c>
    </row>
    <row r="10" spans="1:4" x14ac:dyDescent="0.35">
      <c r="A10" s="12">
        <v>15</v>
      </c>
      <c r="B10" t="s">
        <v>24</v>
      </c>
      <c r="C10" t="s">
        <v>13</v>
      </c>
      <c r="D10" t="s">
        <v>14</v>
      </c>
    </row>
    <row r="11" spans="1:4" x14ac:dyDescent="0.35">
      <c r="A11" s="12">
        <v>17</v>
      </c>
      <c r="B11" t="s">
        <v>25</v>
      </c>
      <c r="C11" t="s">
        <v>13</v>
      </c>
      <c r="D11" t="s">
        <v>14</v>
      </c>
    </row>
    <row r="12" spans="1:4" x14ac:dyDescent="0.35">
      <c r="A12" s="12">
        <v>18</v>
      </c>
      <c r="B12" t="s">
        <v>26</v>
      </c>
      <c r="C12" t="s">
        <v>13</v>
      </c>
      <c r="D12" t="s">
        <v>16</v>
      </c>
    </row>
    <row r="13" spans="1:4" x14ac:dyDescent="0.35">
      <c r="A13" s="12">
        <v>20</v>
      </c>
      <c r="B13" t="s">
        <v>27</v>
      </c>
      <c r="C13" t="s">
        <v>13</v>
      </c>
      <c r="D13" t="s">
        <v>16</v>
      </c>
    </row>
    <row r="14" spans="1:4" x14ac:dyDescent="0.35">
      <c r="A14" s="12">
        <v>21</v>
      </c>
      <c r="B14" t="s">
        <v>28</v>
      </c>
      <c r="C14" t="s">
        <v>13</v>
      </c>
      <c r="D14" t="s">
        <v>16</v>
      </c>
    </row>
    <row r="15" spans="1:4" x14ac:dyDescent="0.35">
      <c r="A15" s="12">
        <v>22</v>
      </c>
      <c r="B15" t="s">
        <v>29</v>
      </c>
      <c r="C15" t="s">
        <v>13</v>
      </c>
      <c r="D15" t="s">
        <v>16</v>
      </c>
    </row>
    <row r="16" spans="1:4" x14ac:dyDescent="0.35">
      <c r="A16" s="12">
        <v>23</v>
      </c>
      <c r="B16" t="s">
        <v>30</v>
      </c>
      <c r="C16" t="s">
        <v>13</v>
      </c>
      <c r="D16" t="s">
        <v>14</v>
      </c>
    </row>
    <row r="17" spans="1:4" x14ac:dyDescent="0.35">
      <c r="A17" s="12">
        <v>24</v>
      </c>
      <c r="B17" t="s">
        <v>31</v>
      </c>
      <c r="C17" t="s">
        <v>13</v>
      </c>
      <c r="D17" t="s">
        <v>16</v>
      </c>
    </row>
    <row r="18" spans="1:4" x14ac:dyDescent="0.35">
      <c r="A18" s="12">
        <v>25</v>
      </c>
      <c r="B18" t="s">
        <v>32</v>
      </c>
      <c r="C18" t="s">
        <v>13</v>
      </c>
      <c r="D18" t="s">
        <v>16</v>
      </c>
    </row>
    <row r="19" spans="1:4" x14ac:dyDescent="0.35">
      <c r="A19" s="12">
        <v>28</v>
      </c>
      <c r="B19" t="s">
        <v>33</v>
      </c>
      <c r="C19" t="s">
        <v>13</v>
      </c>
      <c r="D19" t="s">
        <v>16</v>
      </c>
    </row>
    <row r="20" spans="1:4" x14ac:dyDescent="0.35">
      <c r="A20" s="12">
        <v>29</v>
      </c>
      <c r="B20" t="s">
        <v>34</v>
      </c>
      <c r="C20" t="s">
        <v>13</v>
      </c>
      <c r="D20" t="s">
        <v>16</v>
      </c>
    </row>
    <row r="21" spans="1:4" x14ac:dyDescent="0.35">
      <c r="A21" s="12">
        <v>33</v>
      </c>
      <c r="B21" t="s">
        <v>35</v>
      </c>
      <c r="C21" t="s">
        <v>13</v>
      </c>
      <c r="D21" t="s">
        <v>16</v>
      </c>
    </row>
    <row r="22" spans="1:4" x14ac:dyDescent="0.35">
      <c r="A22" s="12">
        <v>34</v>
      </c>
      <c r="B22" t="s">
        <v>36</v>
      </c>
      <c r="C22" t="s">
        <v>13</v>
      </c>
      <c r="D22" t="s">
        <v>14</v>
      </c>
    </row>
    <row r="23" spans="1:4" x14ac:dyDescent="0.35">
      <c r="A23" s="12">
        <v>36</v>
      </c>
      <c r="B23" t="s">
        <v>37</v>
      </c>
      <c r="C23" t="s">
        <v>13</v>
      </c>
      <c r="D23" t="s">
        <v>16</v>
      </c>
    </row>
    <row r="24" spans="1:4" x14ac:dyDescent="0.35">
      <c r="A24" s="12">
        <v>67</v>
      </c>
      <c r="B24" t="s">
        <v>38</v>
      </c>
      <c r="C24" t="s">
        <v>13</v>
      </c>
      <c r="D24" t="s">
        <v>14</v>
      </c>
    </row>
    <row r="25" spans="1:4" x14ac:dyDescent="0.35">
      <c r="A25" s="12">
        <v>77</v>
      </c>
      <c r="B25" t="s">
        <v>39</v>
      </c>
      <c r="C25" t="s">
        <v>13</v>
      </c>
      <c r="D25" t="s">
        <v>16</v>
      </c>
    </row>
    <row r="26" spans="1:4" x14ac:dyDescent="0.35">
      <c r="A26" s="12">
        <v>83</v>
      </c>
      <c r="B26" t="s">
        <v>40</v>
      </c>
      <c r="C26" t="s">
        <v>13</v>
      </c>
      <c r="D26" t="s">
        <v>14</v>
      </c>
    </row>
    <row r="27" spans="1:4" x14ac:dyDescent="0.35">
      <c r="A27" s="12">
        <v>87</v>
      </c>
      <c r="B27" t="s">
        <v>41</v>
      </c>
      <c r="C27" t="s">
        <v>13</v>
      </c>
      <c r="D27" t="s">
        <v>21</v>
      </c>
    </row>
    <row r="28" spans="1:4" x14ac:dyDescent="0.35">
      <c r="A28" s="12">
        <v>88</v>
      </c>
      <c r="B28" t="s">
        <v>42</v>
      </c>
      <c r="C28" t="s">
        <v>13</v>
      </c>
      <c r="D28" t="s">
        <v>21</v>
      </c>
    </row>
    <row r="29" spans="1:4" x14ac:dyDescent="0.35">
      <c r="A29" s="12">
        <v>103</v>
      </c>
      <c r="B29" t="s">
        <v>43</v>
      </c>
      <c r="C29" t="s">
        <v>13</v>
      </c>
      <c r="D29" t="s">
        <v>14</v>
      </c>
    </row>
    <row r="30" spans="1:4" x14ac:dyDescent="0.35">
      <c r="A30" s="12">
        <v>104</v>
      </c>
      <c r="B30" t="s">
        <v>44</v>
      </c>
      <c r="C30" t="s">
        <v>13</v>
      </c>
      <c r="D30" t="s">
        <v>14</v>
      </c>
    </row>
    <row r="31" spans="1:4" x14ac:dyDescent="0.35">
      <c r="A31" s="12">
        <v>105</v>
      </c>
      <c r="B31" t="s">
        <v>45</v>
      </c>
      <c r="C31" t="s">
        <v>13</v>
      </c>
      <c r="D31" t="s">
        <v>14</v>
      </c>
    </row>
    <row r="32" spans="1:4" x14ac:dyDescent="0.35">
      <c r="A32" s="12">
        <v>106</v>
      </c>
      <c r="B32" t="s">
        <v>46</v>
      </c>
      <c r="C32" t="s">
        <v>13</v>
      </c>
      <c r="D32" t="s">
        <v>14</v>
      </c>
    </row>
    <row r="33" spans="1:4" x14ac:dyDescent="0.35">
      <c r="A33" s="12">
        <v>110</v>
      </c>
      <c r="B33" t="s">
        <v>47</v>
      </c>
      <c r="C33" t="s">
        <v>13</v>
      </c>
      <c r="D33" t="s">
        <v>14</v>
      </c>
    </row>
    <row r="34" spans="1:4" x14ac:dyDescent="0.35">
      <c r="A34" s="12">
        <v>112</v>
      </c>
      <c r="B34" t="s">
        <v>48</v>
      </c>
      <c r="C34" t="s">
        <v>13</v>
      </c>
      <c r="D34" t="s">
        <v>14</v>
      </c>
    </row>
    <row r="35" spans="1:4" x14ac:dyDescent="0.35">
      <c r="A35" s="12">
        <v>118</v>
      </c>
      <c r="B35" t="s">
        <v>49</v>
      </c>
      <c r="C35" t="s">
        <v>13</v>
      </c>
      <c r="D35" t="s">
        <v>14</v>
      </c>
    </row>
    <row r="36" spans="1:4" x14ac:dyDescent="0.35">
      <c r="A36" s="12">
        <v>122</v>
      </c>
      <c r="B36" t="s">
        <v>50</v>
      </c>
      <c r="C36" t="s">
        <v>13</v>
      </c>
      <c r="D36" t="s">
        <v>14</v>
      </c>
    </row>
    <row r="37" spans="1:4" x14ac:dyDescent="0.35">
      <c r="A37" s="12">
        <v>134</v>
      </c>
      <c r="B37" t="s">
        <v>51</v>
      </c>
      <c r="C37" t="s">
        <v>13</v>
      </c>
      <c r="D37" t="s">
        <v>14</v>
      </c>
    </row>
    <row r="38" spans="1:4" x14ac:dyDescent="0.35">
      <c r="A38" s="12">
        <v>135</v>
      </c>
      <c r="B38" t="s">
        <v>52</v>
      </c>
      <c r="C38" t="s">
        <v>13</v>
      </c>
      <c r="D38" t="s">
        <v>14</v>
      </c>
    </row>
    <row r="39" spans="1:4" x14ac:dyDescent="0.35">
      <c r="A39" s="12">
        <v>136</v>
      </c>
      <c r="B39" t="s">
        <v>53</v>
      </c>
      <c r="C39" t="s">
        <v>13</v>
      </c>
      <c r="D39" t="s">
        <v>14</v>
      </c>
    </row>
    <row r="40" spans="1:4" x14ac:dyDescent="0.35">
      <c r="A40" s="12">
        <v>140</v>
      </c>
      <c r="B40" t="s">
        <v>54</v>
      </c>
      <c r="C40" t="s">
        <v>13</v>
      </c>
      <c r="D40" t="s">
        <v>21</v>
      </c>
    </row>
    <row r="41" spans="1:4" x14ac:dyDescent="0.35">
      <c r="A41" s="12">
        <v>142</v>
      </c>
      <c r="B41" t="s">
        <v>55</v>
      </c>
      <c r="C41" t="s">
        <v>13</v>
      </c>
      <c r="D41" t="s">
        <v>14</v>
      </c>
    </row>
    <row r="42" spans="1:4" x14ac:dyDescent="0.35">
      <c r="A42" s="12">
        <v>148</v>
      </c>
      <c r="B42" t="s">
        <v>56</v>
      </c>
      <c r="C42" t="s">
        <v>13</v>
      </c>
      <c r="D42" t="s">
        <v>21</v>
      </c>
    </row>
    <row r="43" spans="1:4" x14ac:dyDescent="0.35">
      <c r="A43" s="12">
        <v>154</v>
      </c>
      <c r="B43" t="s">
        <v>57</v>
      </c>
      <c r="C43" t="s">
        <v>13</v>
      </c>
      <c r="D43" t="s">
        <v>21</v>
      </c>
    </row>
    <row r="44" spans="1:4" x14ac:dyDescent="0.35">
      <c r="A44" s="12">
        <v>160</v>
      </c>
      <c r="B44" t="s">
        <v>58</v>
      </c>
      <c r="C44" t="s">
        <v>13</v>
      </c>
      <c r="D44" t="s">
        <v>21</v>
      </c>
    </row>
    <row r="45" spans="1:4" x14ac:dyDescent="0.35">
      <c r="A45" s="12">
        <v>162</v>
      </c>
      <c r="B45" t="s">
        <v>59</v>
      </c>
      <c r="C45" t="s">
        <v>13</v>
      </c>
      <c r="D45" t="s">
        <v>21</v>
      </c>
    </row>
    <row r="46" spans="1:4" x14ac:dyDescent="0.35">
      <c r="A46" s="12">
        <v>163</v>
      </c>
      <c r="B46" t="s">
        <v>60</v>
      </c>
      <c r="C46" t="s">
        <v>13</v>
      </c>
      <c r="D46" t="s">
        <v>21</v>
      </c>
    </row>
    <row r="47" spans="1:4" x14ac:dyDescent="0.35">
      <c r="A47" s="12">
        <v>174</v>
      </c>
      <c r="B47" t="s">
        <v>61</v>
      </c>
      <c r="C47" t="s">
        <v>13</v>
      </c>
      <c r="D47" t="s">
        <v>21</v>
      </c>
    </row>
    <row r="48" spans="1:4" x14ac:dyDescent="0.35">
      <c r="A48" s="12">
        <v>175</v>
      </c>
      <c r="B48" t="s">
        <v>62</v>
      </c>
      <c r="C48" t="s">
        <v>13</v>
      </c>
      <c r="D48" t="s">
        <v>21</v>
      </c>
    </row>
    <row r="49" spans="1:4" x14ac:dyDescent="0.35">
      <c r="A49" s="12">
        <v>179</v>
      </c>
      <c r="B49" t="s">
        <v>63</v>
      </c>
      <c r="C49" t="s">
        <v>13</v>
      </c>
      <c r="D49" t="s">
        <v>21</v>
      </c>
    </row>
    <row r="50" spans="1:4" x14ac:dyDescent="0.35">
      <c r="A50" s="12">
        <v>180</v>
      </c>
      <c r="B50" t="s">
        <v>64</v>
      </c>
      <c r="C50" t="s">
        <v>13</v>
      </c>
      <c r="D50" t="s">
        <v>21</v>
      </c>
    </row>
    <row r="51" spans="1:4" x14ac:dyDescent="0.35">
      <c r="A51" s="12">
        <v>185</v>
      </c>
      <c r="B51" t="s">
        <v>65</v>
      </c>
      <c r="C51" t="s">
        <v>13</v>
      </c>
      <c r="D51" t="s">
        <v>21</v>
      </c>
    </row>
    <row r="52" spans="1:4" x14ac:dyDescent="0.35">
      <c r="A52" s="12">
        <v>186</v>
      </c>
      <c r="B52" t="s">
        <v>66</v>
      </c>
      <c r="C52" t="s">
        <v>13</v>
      </c>
      <c r="D52" t="s">
        <v>21</v>
      </c>
    </row>
    <row r="53" spans="1:4" x14ac:dyDescent="0.35">
      <c r="A53" s="12">
        <v>187</v>
      </c>
      <c r="B53" t="s">
        <v>67</v>
      </c>
      <c r="C53" t="s">
        <v>13</v>
      </c>
      <c r="D53" t="s">
        <v>21</v>
      </c>
    </row>
    <row r="54" spans="1:4" x14ac:dyDescent="0.35">
      <c r="A54" s="12">
        <v>191</v>
      </c>
      <c r="B54" t="s">
        <v>68</v>
      </c>
      <c r="C54" t="s">
        <v>13</v>
      </c>
      <c r="D54" t="s">
        <v>21</v>
      </c>
    </row>
    <row r="55" spans="1:4" x14ac:dyDescent="0.35">
      <c r="A55" s="12">
        <v>192</v>
      </c>
      <c r="B55" t="s">
        <v>69</v>
      </c>
      <c r="C55" t="s">
        <v>13</v>
      </c>
      <c r="D55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2073-8222-4361-B827-ACC7C287BA38}">
  <dimension ref="A1:D146"/>
  <sheetViews>
    <sheetView workbookViewId="0">
      <selection activeCell="C9" sqref="C8:C9"/>
    </sheetView>
  </sheetViews>
  <sheetFormatPr baseColWidth="10" defaultRowHeight="14.5" x14ac:dyDescent="0.35"/>
  <cols>
    <col min="1" max="1" width="19.36328125" customWidth="1"/>
    <col min="2" max="2" width="67" customWidth="1"/>
    <col min="3" max="3" width="16.1796875" customWidth="1"/>
    <col min="4" max="4" width="19.36328125" customWidth="1"/>
  </cols>
  <sheetData>
    <row r="1" spans="1:4" s="28" customFormat="1" x14ac:dyDescent="0.35">
      <c r="A1" s="27" t="s">
        <v>390</v>
      </c>
      <c r="B1" s="27" t="s">
        <v>236</v>
      </c>
      <c r="C1" s="27" t="s">
        <v>237</v>
      </c>
      <c r="D1" s="27" t="s">
        <v>238</v>
      </c>
    </row>
    <row r="2" spans="1:4" ht="20.5" customHeight="1" x14ac:dyDescent="0.35">
      <c r="A2" s="14">
        <v>1</v>
      </c>
      <c r="B2" s="15" t="s">
        <v>239</v>
      </c>
      <c r="C2" s="14" t="s">
        <v>240</v>
      </c>
      <c r="D2" s="16" t="s">
        <v>241</v>
      </c>
    </row>
    <row r="3" spans="1:4" ht="20.5" customHeight="1" x14ac:dyDescent="0.35">
      <c r="A3" s="14">
        <v>3</v>
      </c>
      <c r="B3" s="15" t="s">
        <v>242</v>
      </c>
      <c r="C3" s="14" t="s">
        <v>240</v>
      </c>
      <c r="D3" s="16" t="s">
        <v>241</v>
      </c>
    </row>
    <row r="4" spans="1:4" ht="20.5" customHeight="1" x14ac:dyDescent="0.35">
      <c r="A4" s="14">
        <v>6</v>
      </c>
      <c r="B4" s="15" t="s">
        <v>243</v>
      </c>
      <c r="C4" s="14" t="s">
        <v>244</v>
      </c>
      <c r="D4" s="16" t="s">
        <v>241</v>
      </c>
    </row>
    <row r="5" spans="1:4" ht="20.5" customHeight="1" x14ac:dyDescent="0.35">
      <c r="A5" s="14">
        <v>11</v>
      </c>
      <c r="B5" s="15" t="s">
        <v>245</v>
      </c>
      <c r="C5" s="14" t="s">
        <v>240</v>
      </c>
      <c r="D5" s="16" t="s">
        <v>241</v>
      </c>
    </row>
    <row r="6" spans="1:4" ht="20.5" customHeight="1" x14ac:dyDescent="0.35">
      <c r="A6" s="14">
        <v>13</v>
      </c>
      <c r="B6" s="15" t="s">
        <v>246</v>
      </c>
      <c r="C6" s="14" t="s">
        <v>240</v>
      </c>
      <c r="D6" s="16" t="s">
        <v>241</v>
      </c>
    </row>
    <row r="7" spans="1:4" ht="20.5" customHeight="1" x14ac:dyDescent="0.35">
      <c r="A7" s="14">
        <v>20</v>
      </c>
      <c r="B7" s="15" t="s">
        <v>247</v>
      </c>
      <c r="C7" s="14" t="s">
        <v>240</v>
      </c>
      <c r="D7" s="16" t="s">
        <v>241</v>
      </c>
    </row>
    <row r="8" spans="1:4" ht="20.5" customHeight="1" x14ac:dyDescent="0.35">
      <c r="A8" s="14">
        <v>24</v>
      </c>
      <c r="B8" s="15" t="s">
        <v>248</v>
      </c>
      <c r="C8" s="14" t="s">
        <v>240</v>
      </c>
      <c r="D8" s="16" t="s">
        <v>241</v>
      </c>
    </row>
    <row r="9" spans="1:4" ht="20.5" customHeight="1" x14ac:dyDescent="0.35">
      <c r="A9" s="14">
        <v>25</v>
      </c>
      <c r="B9" s="15" t="s">
        <v>249</v>
      </c>
      <c r="C9" s="14" t="s">
        <v>240</v>
      </c>
      <c r="D9" s="16" t="s">
        <v>241</v>
      </c>
    </row>
    <row r="10" spans="1:4" ht="20.5" customHeight="1" x14ac:dyDescent="0.35">
      <c r="A10" s="14">
        <v>26</v>
      </c>
      <c r="B10" s="15" t="s">
        <v>250</v>
      </c>
      <c r="C10" s="14" t="s">
        <v>240</v>
      </c>
      <c r="D10" s="16" t="s">
        <v>241</v>
      </c>
    </row>
    <row r="11" spans="1:4" ht="20.5" customHeight="1" x14ac:dyDescent="0.35">
      <c r="A11" s="14">
        <v>27</v>
      </c>
      <c r="B11" s="15" t="s">
        <v>251</v>
      </c>
      <c r="C11" s="14" t="s">
        <v>240</v>
      </c>
      <c r="D11" s="16" t="s">
        <v>241</v>
      </c>
    </row>
    <row r="12" spans="1:4" ht="20.5" customHeight="1" x14ac:dyDescent="0.35">
      <c r="A12" s="14">
        <v>28</v>
      </c>
      <c r="B12" s="15" t="s">
        <v>252</v>
      </c>
      <c r="C12" s="14" t="s">
        <v>240</v>
      </c>
      <c r="D12" s="16" t="s">
        <v>241</v>
      </c>
    </row>
    <row r="13" spans="1:4" ht="20.5" customHeight="1" x14ac:dyDescent="0.35">
      <c r="A13" s="14">
        <v>31</v>
      </c>
      <c r="B13" s="15" t="s">
        <v>253</v>
      </c>
      <c r="C13" s="14" t="s">
        <v>244</v>
      </c>
      <c r="D13" s="16" t="s">
        <v>241</v>
      </c>
    </row>
    <row r="14" spans="1:4" ht="20.5" customHeight="1" x14ac:dyDescent="0.35">
      <c r="A14" s="14">
        <v>37</v>
      </c>
      <c r="B14" s="15" t="s">
        <v>254</v>
      </c>
      <c r="C14" s="14" t="s">
        <v>240</v>
      </c>
      <c r="D14" s="16" t="s">
        <v>241</v>
      </c>
    </row>
    <row r="15" spans="1:4" ht="20.5" customHeight="1" x14ac:dyDescent="0.35">
      <c r="A15" s="14">
        <v>39</v>
      </c>
      <c r="B15" s="15" t="s">
        <v>255</v>
      </c>
      <c r="C15" s="14" t="s">
        <v>240</v>
      </c>
      <c r="D15" s="16" t="s">
        <v>241</v>
      </c>
    </row>
    <row r="16" spans="1:4" ht="20.5" customHeight="1" x14ac:dyDescent="0.35">
      <c r="A16" s="14">
        <v>40</v>
      </c>
      <c r="B16" s="15" t="s">
        <v>256</v>
      </c>
      <c r="C16" s="14" t="s">
        <v>240</v>
      </c>
      <c r="D16" s="16" t="s">
        <v>241</v>
      </c>
    </row>
    <row r="17" spans="1:4" ht="20.5" customHeight="1" x14ac:dyDescent="0.35">
      <c r="A17" s="14">
        <v>43</v>
      </c>
      <c r="B17" s="15" t="s">
        <v>257</v>
      </c>
      <c r="C17" s="14" t="s">
        <v>240</v>
      </c>
      <c r="D17" s="16" t="s">
        <v>241</v>
      </c>
    </row>
    <row r="18" spans="1:4" ht="20.5" customHeight="1" x14ac:dyDescent="0.35">
      <c r="A18" s="14">
        <v>49</v>
      </c>
      <c r="B18" s="15" t="s">
        <v>258</v>
      </c>
      <c r="C18" s="14" t="s">
        <v>244</v>
      </c>
      <c r="D18" s="16" t="s">
        <v>241</v>
      </c>
    </row>
    <row r="19" spans="1:4" ht="20.5" customHeight="1" x14ac:dyDescent="0.35">
      <c r="A19" s="14">
        <v>50</v>
      </c>
      <c r="B19" s="15" t="s">
        <v>259</v>
      </c>
      <c r="C19" s="14" t="s">
        <v>244</v>
      </c>
      <c r="D19" s="16" t="s">
        <v>241</v>
      </c>
    </row>
    <row r="20" spans="1:4" ht="20.5" customHeight="1" x14ac:dyDescent="0.35">
      <c r="A20" s="14">
        <v>51</v>
      </c>
      <c r="B20" s="15" t="s">
        <v>260</v>
      </c>
      <c r="C20" s="14" t="s">
        <v>240</v>
      </c>
      <c r="D20" s="16" t="s">
        <v>241</v>
      </c>
    </row>
    <row r="21" spans="1:4" ht="20.5" customHeight="1" x14ac:dyDescent="0.35">
      <c r="A21" s="14">
        <v>52</v>
      </c>
      <c r="B21" s="15" t="s">
        <v>261</v>
      </c>
      <c r="C21" s="14" t="s">
        <v>240</v>
      </c>
      <c r="D21" s="16" t="s">
        <v>241</v>
      </c>
    </row>
    <row r="22" spans="1:4" ht="20.5" customHeight="1" x14ac:dyDescent="0.35">
      <c r="A22" s="14">
        <v>53</v>
      </c>
      <c r="B22" s="15" t="s">
        <v>262</v>
      </c>
      <c r="C22" s="14" t="s">
        <v>240</v>
      </c>
      <c r="D22" s="16" t="s">
        <v>241</v>
      </c>
    </row>
    <row r="23" spans="1:4" ht="20.5" customHeight="1" x14ac:dyDescent="0.35">
      <c r="A23" s="14">
        <v>54</v>
      </c>
      <c r="B23" s="15" t="s">
        <v>263</v>
      </c>
      <c r="C23" s="14" t="s">
        <v>240</v>
      </c>
      <c r="D23" s="16" t="s">
        <v>241</v>
      </c>
    </row>
    <row r="24" spans="1:4" ht="20.5" customHeight="1" x14ac:dyDescent="0.35">
      <c r="A24" s="14">
        <v>60</v>
      </c>
      <c r="B24" s="15" t="s">
        <v>264</v>
      </c>
      <c r="C24" s="14" t="s">
        <v>240</v>
      </c>
      <c r="D24" s="16" t="s">
        <v>241</v>
      </c>
    </row>
    <row r="25" spans="1:4" ht="20.5" customHeight="1" x14ac:dyDescent="0.35">
      <c r="A25" s="14">
        <v>63</v>
      </c>
      <c r="B25" s="15" t="s">
        <v>265</v>
      </c>
      <c r="C25" s="14" t="s">
        <v>240</v>
      </c>
      <c r="D25" s="16" t="s">
        <v>241</v>
      </c>
    </row>
    <row r="26" spans="1:4" ht="20.5" customHeight="1" x14ac:dyDescent="0.35">
      <c r="A26" s="14">
        <v>65</v>
      </c>
      <c r="B26" s="15" t="s">
        <v>266</v>
      </c>
      <c r="C26" s="14" t="s">
        <v>240</v>
      </c>
      <c r="D26" s="16" t="s">
        <v>241</v>
      </c>
    </row>
    <row r="27" spans="1:4" ht="20.5" customHeight="1" x14ac:dyDescent="0.35">
      <c r="A27" s="14">
        <v>66</v>
      </c>
      <c r="B27" s="15" t="s">
        <v>267</v>
      </c>
      <c r="C27" s="14" t="s">
        <v>240</v>
      </c>
      <c r="D27" s="16" t="s">
        <v>241</v>
      </c>
    </row>
    <row r="28" spans="1:4" ht="20.5" customHeight="1" x14ac:dyDescent="0.35">
      <c r="A28" s="14">
        <v>72</v>
      </c>
      <c r="B28" s="15" t="s">
        <v>268</v>
      </c>
      <c r="C28" s="14" t="s">
        <v>240</v>
      </c>
      <c r="D28" s="16" t="s">
        <v>241</v>
      </c>
    </row>
    <row r="29" spans="1:4" ht="20.5" customHeight="1" x14ac:dyDescent="0.35">
      <c r="A29" s="14">
        <v>73</v>
      </c>
      <c r="B29" s="15" t="s">
        <v>269</v>
      </c>
      <c r="C29" s="14" t="s">
        <v>240</v>
      </c>
      <c r="D29" s="16" t="s">
        <v>241</v>
      </c>
    </row>
    <row r="30" spans="1:4" ht="20.5" customHeight="1" x14ac:dyDescent="0.35">
      <c r="A30" s="14">
        <v>75</v>
      </c>
      <c r="B30" s="15" t="s">
        <v>270</v>
      </c>
      <c r="C30" s="14"/>
      <c r="D30" s="16" t="s">
        <v>241</v>
      </c>
    </row>
    <row r="31" spans="1:4" ht="20.5" customHeight="1" x14ac:dyDescent="0.35">
      <c r="A31" s="14">
        <v>78</v>
      </c>
      <c r="B31" s="15" t="s">
        <v>271</v>
      </c>
      <c r="C31" s="14" t="s">
        <v>244</v>
      </c>
      <c r="D31" s="16" t="s">
        <v>272</v>
      </c>
    </row>
    <row r="32" spans="1:4" ht="20.5" customHeight="1" x14ac:dyDescent="0.35">
      <c r="A32" s="14">
        <v>79</v>
      </c>
      <c r="B32" s="15" t="s">
        <v>273</v>
      </c>
      <c r="C32" s="14" t="s">
        <v>240</v>
      </c>
      <c r="D32" s="16" t="s">
        <v>241</v>
      </c>
    </row>
    <row r="33" spans="1:4" ht="20.5" customHeight="1" x14ac:dyDescent="0.35">
      <c r="A33" s="14">
        <v>81</v>
      </c>
      <c r="B33" s="15" t="s">
        <v>274</v>
      </c>
      <c r="C33" s="14" t="s">
        <v>240</v>
      </c>
      <c r="D33" s="16" t="s">
        <v>241</v>
      </c>
    </row>
    <row r="34" spans="1:4" ht="20.5" customHeight="1" x14ac:dyDescent="0.35">
      <c r="A34" s="14">
        <v>86</v>
      </c>
      <c r="B34" s="15" t="s">
        <v>275</v>
      </c>
      <c r="C34" s="14" t="s">
        <v>240</v>
      </c>
      <c r="D34" s="16" t="s">
        <v>241</v>
      </c>
    </row>
    <row r="35" spans="1:4" ht="20.5" customHeight="1" x14ac:dyDescent="0.35">
      <c r="A35" s="14">
        <v>91</v>
      </c>
      <c r="B35" s="15" t="s">
        <v>276</v>
      </c>
      <c r="C35" s="14" t="s">
        <v>240</v>
      </c>
      <c r="D35" s="16" t="s">
        <v>241</v>
      </c>
    </row>
    <row r="36" spans="1:4" ht="20.5" customHeight="1" x14ac:dyDescent="0.35">
      <c r="A36" s="14">
        <v>96</v>
      </c>
      <c r="B36" s="15" t="s">
        <v>277</v>
      </c>
      <c r="C36" s="14" t="s">
        <v>240</v>
      </c>
      <c r="D36" s="16" t="s">
        <v>241</v>
      </c>
    </row>
    <row r="37" spans="1:4" ht="20.5" customHeight="1" x14ac:dyDescent="0.35">
      <c r="A37" s="14">
        <v>102</v>
      </c>
      <c r="B37" s="15" t="s">
        <v>278</v>
      </c>
      <c r="C37" s="14" t="s">
        <v>244</v>
      </c>
      <c r="D37" s="16" t="s">
        <v>272</v>
      </c>
    </row>
    <row r="38" spans="1:4" ht="20.5" customHeight="1" x14ac:dyDescent="0.35">
      <c r="A38" s="14">
        <v>112</v>
      </c>
      <c r="B38" s="15" t="s">
        <v>279</v>
      </c>
      <c r="C38" s="14" t="s">
        <v>240</v>
      </c>
      <c r="D38" s="16" t="s">
        <v>241</v>
      </c>
    </row>
    <row r="39" spans="1:4" ht="20.5" customHeight="1" x14ac:dyDescent="0.35">
      <c r="A39" s="14">
        <v>121</v>
      </c>
      <c r="B39" s="15" t="s">
        <v>280</v>
      </c>
      <c r="C39" s="14" t="s">
        <v>281</v>
      </c>
      <c r="D39" s="16" t="s">
        <v>272</v>
      </c>
    </row>
    <row r="40" spans="1:4" ht="20.5" customHeight="1" x14ac:dyDescent="0.35">
      <c r="A40" s="14">
        <v>123</v>
      </c>
      <c r="B40" s="15" t="s">
        <v>282</v>
      </c>
      <c r="C40" s="14" t="s">
        <v>240</v>
      </c>
      <c r="D40" s="16" t="s">
        <v>241</v>
      </c>
    </row>
    <row r="41" spans="1:4" ht="20.5" customHeight="1" x14ac:dyDescent="0.35">
      <c r="A41" s="14">
        <v>130</v>
      </c>
      <c r="B41" s="15" t="s">
        <v>283</v>
      </c>
      <c r="C41" s="14" t="s">
        <v>240</v>
      </c>
      <c r="D41" s="16" t="s">
        <v>241</v>
      </c>
    </row>
    <row r="42" spans="1:4" ht="20.5" customHeight="1" x14ac:dyDescent="0.35">
      <c r="A42" s="14">
        <v>136</v>
      </c>
      <c r="B42" s="15" t="s">
        <v>284</v>
      </c>
      <c r="C42" s="14" t="s">
        <v>240</v>
      </c>
      <c r="D42" s="16" t="s">
        <v>241</v>
      </c>
    </row>
    <row r="43" spans="1:4" ht="20.5" customHeight="1" x14ac:dyDescent="0.35">
      <c r="A43" s="14">
        <v>138</v>
      </c>
      <c r="B43" s="15" t="s">
        <v>285</v>
      </c>
      <c r="C43" s="14" t="s">
        <v>240</v>
      </c>
      <c r="D43" s="16" t="s">
        <v>241</v>
      </c>
    </row>
    <row r="44" spans="1:4" ht="20.5" customHeight="1" x14ac:dyDescent="0.35">
      <c r="A44" s="14">
        <v>147</v>
      </c>
      <c r="B44" s="15" t="s">
        <v>286</v>
      </c>
      <c r="C44" s="14" t="s">
        <v>281</v>
      </c>
      <c r="D44" s="16" t="s">
        <v>272</v>
      </c>
    </row>
    <row r="45" spans="1:4" ht="20.5" customHeight="1" x14ac:dyDescent="0.35">
      <c r="A45" s="14">
        <v>148</v>
      </c>
      <c r="B45" s="15" t="s">
        <v>287</v>
      </c>
      <c r="C45" s="14" t="s">
        <v>240</v>
      </c>
      <c r="D45" s="16" t="s">
        <v>241</v>
      </c>
    </row>
    <row r="46" spans="1:4" ht="20.5" customHeight="1" x14ac:dyDescent="0.35">
      <c r="A46" s="14">
        <v>152</v>
      </c>
      <c r="B46" s="15" t="s">
        <v>288</v>
      </c>
      <c r="C46" s="14" t="s">
        <v>240</v>
      </c>
      <c r="D46" s="16" t="s">
        <v>241</v>
      </c>
    </row>
    <row r="47" spans="1:4" ht="20.5" customHeight="1" x14ac:dyDescent="0.35">
      <c r="A47" s="14">
        <v>158</v>
      </c>
      <c r="B47" s="15" t="s">
        <v>289</v>
      </c>
      <c r="C47" s="14" t="s">
        <v>240</v>
      </c>
      <c r="D47" s="16" t="s">
        <v>241</v>
      </c>
    </row>
    <row r="48" spans="1:4" ht="20.5" customHeight="1" x14ac:dyDescent="0.35">
      <c r="A48" s="14">
        <v>169</v>
      </c>
      <c r="B48" s="15" t="s">
        <v>290</v>
      </c>
      <c r="C48" s="14" t="s">
        <v>240</v>
      </c>
      <c r="D48" s="16" t="s">
        <v>241</v>
      </c>
    </row>
    <row r="49" spans="1:4" ht="20.5" customHeight="1" x14ac:dyDescent="0.35">
      <c r="A49" s="14">
        <v>173</v>
      </c>
      <c r="B49" s="15" t="s">
        <v>291</v>
      </c>
      <c r="C49" s="14" t="s">
        <v>240</v>
      </c>
      <c r="D49" s="16" t="s">
        <v>241</v>
      </c>
    </row>
    <row r="50" spans="1:4" ht="20.5" customHeight="1" x14ac:dyDescent="0.35">
      <c r="A50" s="14">
        <v>174</v>
      </c>
      <c r="B50" s="15" t="s">
        <v>292</v>
      </c>
      <c r="C50" s="14" t="s">
        <v>240</v>
      </c>
      <c r="D50" s="16" t="s">
        <v>241</v>
      </c>
    </row>
    <row r="51" spans="1:4" ht="20.5" customHeight="1" x14ac:dyDescent="0.35">
      <c r="A51" s="14">
        <v>175</v>
      </c>
      <c r="B51" s="15" t="s">
        <v>293</v>
      </c>
      <c r="C51" s="14" t="s">
        <v>240</v>
      </c>
      <c r="D51" s="16" t="s">
        <v>241</v>
      </c>
    </row>
    <row r="52" spans="1:4" ht="20.5" customHeight="1" x14ac:dyDescent="0.35">
      <c r="A52" s="14">
        <v>176</v>
      </c>
      <c r="B52" s="15" t="s">
        <v>294</v>
      </c>
      <c r="C52" s="14" t="s">
        <v>240</v>
      </c>
      <c r="D52" s="16" t="s">
        <v>241</v>
      </c>
    </row>
    <row r="53" spans="1:4" ht="20.5" customHeight="1" x14ac:dyDescent="0.35">
      <c r="A53" s="14">
        <v>177</v>
      </c>
      <c r="B53" s="15" t="s">
        <v>295</v>
      </c>
      <c r="C53" s="14" t="s">
        <v>240</v>
      </c>
      <c r="D53" s="16" t="s">
        <v>241</v>
      </c>
    </row>
    <row r="54" spans="1:4" ht="20.5" customHeight="1" x14ac:dyDescent="0.35">
      <c r="A54" s="14">
        <v>213</v>
      </c>
      <c r="B54" s="15" t="s">
        <v>296</v>
      </c>
      <c r="C54" s="14" t="s">
        <v>240</v>
      </c>
      <c r="D54" s="16" t="s">
        <v>241</v>
      </c>
    </row>
    <row r="55" spans="1:4" ht="20.5" customHeight="1" x14ac:dyDescent="0.35">
      <c r="A55" s="14">
        <v>215</v>
      </c>
      <c r="B55" s="15" t="s">
        <v>297</v>
      </c>
      <c r="C55" s="14" t="s">
        <v>240</v>
      </c>
      <c r="D55" s="16" t="s">
        <v>241</v>
      </c>
    </row>
    <row r="56" spans="1:4" ht="20.5" customHeight="1" x14ac:dyDescent="0.35">
      <c r="A56" s="14">
        <v>216</v>
      </c>
      <c r="B56" s="15" t="s">
        <v>298</v>
      </c>
      <c r="C56" s="14" t="s">
        <v>240</v>
      </c>
      <c r="D56" s="16" t="s">
        <v>241</v>
      </c>
    </row>
    <row r="57" spans="1:4" ht="20.5" customHeight="1" x14ac:dyDescent="0.35">
      <c r="A57" s="14">
        <v>217</v>
      </c>
      <c r="B57" s="15" t="s">
        <v>299</v>
      </c>
      <c r="C57" s="14" t="s">
        <v>300</v>
      </c>
      <c r="D57" s="16" t="s">
        <v>301</v>
      </c>
    </row>
    <row r="58" spans="1:4" ht="20.5" customHeight="1" x14ac:dyDescent="0.35">
      <c r="A58" s="14">
        <v>220</v>
      </c>
      <c r="B58" s="15" t="s">
        <v>302</v>
      </c>
      <c r="C58" s="14" t="s">
        <v>240</v>
      </c>
      <c r="D58" s="16" t="s">
        <v>241</v>
      </c>
    </row>
    <row r="59" spans="1:4" ht="20.5" customHeight="1" x14ac:dyDescent="0.35">
      <c r="A59" s="14">
        <v>221</v>
      </c>
      <c r="B59" s="15" t="s">
        <v>303</v>
      </c>
      <c r="C59" s="14" t="s">
        <v>240</v>
      </c>
      <c r="D59" s="16" t="s">
        <v>241</v>
      </c>
    </row>
    <row r="60" spans="1:4" ht="20.5" customHeight="1" x14ac:dyDescent="0.35">
      <c r="A60" s="14">
        <v>222</v>
      </c>
      <c r="B60" s="15" t="s">
        <v>304</v>
      </c>
      <c r="C60" s="14" t="s">
        <v>240</v>
      </c>
      <c r="D60" s="16" t="s">
        <v>241</v>
      </c>
    </row>
    <row r="61" spans="1:4" ht="20.5" customHeight="1" x14ac:dyDescent="0.35">
      <c r="A61" s="14">
        <v>223</v>
      </c>
      <c r="B61" s="15" t="s">
        <v>305</v>
      </c>
      <c r="C61" s="14" t="s">
        <v>240</v>
      </c>
      <c r="D61" s="16" t="s">
        <v>241</v>
      </c>
    </row>
    <row r="62" spans="1:4" ht="20.5" customHeight="1" x14ac:dyDescent="0.35">
      <c r="A62" s="14">
        <v>224</v>
      </c>
      <c r="B62" s="15" t="s">
        <v>306</v>
      </c>
      <c r="C62" s="14" t="s">
        <v>240</v>
      </c>
      <c r="D62" s="16" t="s">
        <v>241</v>
      </c>
    </row>
    <row r="63" spans="1:4" ht="20.5" customHeight="1" x14ac:dyDescent="0.35">
      <c r="A63" s="14">
        <v>225</v>
      </c>
      <c r="B63" s="15" t="s">
        <v>307</v>
      </c>
      <c r="C63" s="14" t="s">
        <v>240</v>
      </c>
      <c r="D63" s="16" t="s">
        <v>241</v>
      </c>
    </row>
    <row r="64" spans="1:4" ht="20.5" customHeight="1" x14ac:dyDescent="0.35">
      <c r="A64" s="14">
        <v>226</v>
      </c>
      <c r="B64" s="15" t="s">
        <v>308</v>
      </c>
      <c r="C64" s="14" t="s">
        <v>240</v>
      </c>
      <c r="D64" s="16" t="s">
        <v>241</v>
      </c>
    </row>
    <row r="65" spans="1:4" ht="20.5" customHeight="1" x14ac:dyDescent="0.35">
      <c r="A65" s="14">
        <v>227</v>
      </c>
      <c r="B65" s="15" t="s">
        <v>309</v>
      </c>
      <c r="C65" s="14" t="s">
        <v>240</v>
      </c>
      <c r="D65" s="16" t="s">
        <v>241</v>
      </c>
    </row>
    <row r="66" spans="1:4" ht="20.5" customHeight="1" x14ac:dyDescent="0.35">
      <c r="A66" s="14">
        <v>228</v>
      </c>
      <c r="B66" s="15" t="s">
        <v>310</v>
      </c>
      <c r="C66" s="14" t="s">
        <v>240</v>
      </c>
      <c r="D66" s="16" t="s">
        <v>241</v>
      </c>
    </row>
    <row r="67" spans="1:4" ht="20.5" customHeight="1" x14ac:dyDescent="0.35">
      <c r="A67" s="14">
        <v>229</v>
      </c>
      <c r="B67" s="15" t="s">
        <v>311</v>
      </c>
      <c r="C67" s="14" t="s">
        <v>240</v>
      </c>
      <c r="D67" s="16" t="s">
        <v>241</v>
      </c>
    </row>
    <row r="68" spans="1:4" ht="20.5" customHeight="1" x14ac:dyDescent="0.35">
      <c r="A68" s="14">
        <v>230</v>
      </c>
      <c r="B68" s="15" t="s">
        <v>312</v>
      </c>
      <c r="C68" s="14" t="s">
        <v>240</v>
      </c>
      <c r="D68" s="16" t="s">
        <v>241</v>
      </c>
    </row>
    <row r="69" spans="1:4" ht="20.5" customHeight="1" x14ac:dyDescent="0.35">
      <c r="A69" s="14">
        <v>231</v>
      </c>
      <c r="B69" s="15" t="s">
        <v>313</v>
      </c>
      <c r="C69" s="14" t="s">
        <v>240</v>
      </c>
      <c r="D69" s="16" t="s">
        <v>241</v>
      </c>
    </row>
    <row r="70" spans="1:4" ht="20.5" customHeight="1" x14ac:dyDescent="0.35">
      <c r="A70" s="14">
        <v>232</v>
      </c>
      <c r="B70" s="15" t="s">
        <v>314</v>
      </c>
      <c r="C70" s="14" t="s">
        <v>240</v>
      </c>
      <c r="D70" s="16" t="s">
        <v>241</v>
      </c>
    </row>
    <row r="71" spans="1:4" ht="20.5" customHeight="1" x14ac:dyDescent="0.35">
      <c r="A71" s="14">
        <v>233</v>
      </c>
      <c r="B71" s="15" t="s">
        <v>315</v>
      </c>
      <c r="C71" s="14" t="s">
        <v>240</v>
      </c>
      <c r="D71" s="16" t="s">
        <v>241</v>
      </c>
    </row>
    <row r="72" spans="1:4" ht="20.5" customHeight="1" x14ac:dyDescent="0.35">
      <c r="A72" s="14">
        <v>234</v>
      </c>
      <c r="B72" s="15" t="s">
        <v>316</v>
      </c>
      <c r="C72" s="14" t="s">
        <v>240</v>
      </c>
      <c r="D72" s="16" t="s">
        <v>241</v>
      </c>
    </row>
    <row r="73" spans="1:4" ht="20.5" customHeight="1" x14ac:dyDescent="0.35">
      <c r="A73" s="14">
        <v>235</v>
      </c>
      <c r="B73" s="15" t="s">
        <v>317</v>
      </c>
      <c r="C73" s="14" t="s">
        <v>240</v>
      </c>
      <c r="D73" s="16" t="s">
        <v>241</v>
      </c>
    </row>
    <row r="74" spans="1:4" ht="20.5" customHeight="1" x14ac:dyDescent="0.35">
      <c r="A74" s="14">
        <v>236</v>
      </c>
      <c r="B74" s="15" t="s">
        <v>318</v>
      </c>
      <c r="C74" s="14" t="s">
        <v>240</v>
      </c>
      <c r="D74" s="16" t="s">
        <v>241</v>
      </c>
    </row>
    <row r="75" spans="1:4" ht="20.5" customHeight="1" x14ac:dyDescent="0.35">
      <c r="A75" s="14">
        <v>237</v>
      </c>
      <c r="B75" s="15" t="s">
        <v>319</v>
      </c>
      <c r="C75" s="14" t="s">
        <v>240</v>
      </c>
      <c r="D75" s="16" t="s">
        <v>241</v>
      </c>
    </row>
    <row r="76" spans="1:4" ht="20.5" customHeight="1" x14ac:dyDescent="0.35">
      <c r="A76" s="14">
        <v>238</v>
      </c>
      <c r="B76" s="15" t="s">
        <v>320</v>
      </c>
      <c r="C76" s="14" t="s">
        <v>240</v>
      </c>
      <c r="D76" s="16" t="s">
        <v>241</v>
      </c>
    </row>
    <row r="77" spans="1:4" ht="20.5" customHeight="1" x14ac:dyDescent="0.35">
      <c r="A77" s="14">
        <v>239</v>
      </c>
      <c r="B77" s="15" t="s">
        <v>321</v>
      </c>
      <c r="C77" s="14" t="s">
        <v>240</v>
      </c>
      <c r="D77" s="16" t="s">
        <v>241</v>
      </c>
    </row>
    <row r="78" spans="1:4" ht="20.5" customHeight="1" x14ac:dyDescent="0.35">
      <c r="A78" s="14">
        <v>241</v>
      </c>
      <c r="B78" s="15" t="s">
        <v>322</v>
      </c>
      <c r="C78" s="14" t="s">
        <v>240</v>
      </c>
      <c r="D78" s="16" t="s">
        <v>241</v>
      </c>
    </row>
    <row r="79" spans="1:4" ht="20.5" customHeight="1" x14ac:dyDescent="0.35">
      <c r="A79" s="14">
        <v>247</v>
      </c>
      <c r="B79" s="15" t="s">
        <v>323</v>
      </c>
      <c r="C79" s="14" t="s">
        <v>240</v>
      </c>
      <c r="D79" s="16" t="s">
        <v>241</v>
      </c>
    </row>
    <row r="80" spans="1:4" ht="20.5" customHeight="1" x14ac:dyDescent="0.35">
      <c r="A80" s="14">
        <v>267</v>
      </c>
      <c r="B80" s="15" t="s">
        <v>324</v>
      </c>
      <c r="C80" s="14" t="s">
        <v>281</v>
      </c>
      <c r="D80" s="16" t="s">
        <v>325</v>
      </c>
    </row>
    <row r="81" spans="1:4" ht="20.5" customHeight="1" x14ac:dyDescent="0.35">
      <c r="A81" s="14">
        <v>500</v>
      </c>
      <c r="B81" s="15" t="s">
        <v>326</v>
      </c>
      <c r="C81" s="14" t="s">
        <v>300</v>
      </c>
      <c r="D81" s="16" t="s">
        <v>301</v>
      </c>
    </row>
    <row r="82" spans="1:4" ht="20.5" customHeight="1" x14ac:dyDescent="0.35">
      <c r="A82" s="14">
        <v>501</v>
      </c>
      <c r="B82" s="15" t="s">
        <v>327</v>
      </c>
      <c r="C82" s="14" t="s">
        <v>300</v>
      </c>
      <c r="D82" s="16" t="s">
        <v>325</v>
      </c>
    </row>
    <row r="83" spans="1:4" ht="20.5" customHeight="1" x14ac:dyDescent="0.35">
      <c r="A83" s="14">
        <v>502</v>
      </c>
      <c r="B83" s="15" t="s">
        <v>328</v>
      </c>
      <c r="C83" s="14" t="s">
        <v>300</v>
      </c>
      <c r="D83" s="16" t="s">
        <v>301</v>
      </c>
    </row>
    <row r="84" spans="1:4" ht="20.5" customHeight="1" x14ac:dyDescent="0.35">
      <c r="A84" s="14">
        <v>503</v>
      </c>
      <c r="B84" s="15" t="s">
        <v>329</v>
      </c>
      <c r="C84" s="14" t="s">
        <v>300</v>
      </c>
      <c r="D84" s="16" t="s">
        <v>301</v>
      </c>
    </row>
    <row r="85" spans="1:4" ht="20.5" customHeight="1" x14ac:dyDescent="0.35">
      <c r="A85" s="14">
        <v>504</v>
      </c>
      <c r="B85" s="15" t="s">
        <v>330</v>
      </c>
      <c r="C85" s="14" t="s">
        <v>300</v>
      </c>
      <c r="D85" s="16" t="s">
        <v>301</v>
      </c>
    </row>
    <row r="86" spans="1:4" ht="20.5" customHeight="1" x14ac:dyDescent="0.35">
      <c r="A86" s="14">
        <v>505</v>
      </c>
      <c r="B86" s="15" t="s">
        <v>331</v>
      </c>
      <c r="C86" s="14" t="s">
        <v>300</v>
      </c>
      <c r="D86" s="16" t="s">
        <v>241</v>
      </c>
    </row>
    <row r="87" spans="1:4" ht="20.5" customHeight="1" x14ac:dyDescent="0.35">
      <c r="A87" s="14">
        <v>506</v>
      </c>
      <c r="B87" s="15" t="s">
        <v>332</v>
      </c>
      <c r="C87" s="14" t="s">
        <v>300</v>
      </c>
      <c r="D87" s="16" t="s">
        <v>241</v>
      </c>
    </row>
    <row r="88" spans="1:4" ht="20.5" customHeight="1" x14ac:dyDescent="0.35">
      <c r="A88" s="14">
        <v>507</v>
      </c>
      <c r="B88" s="15" t="s">
        <v>333</v>
      </c>
      <c r="C88" s="14" t="s">
        <v>300</v>
      </c>
      <c r="D88" s="16" t="s">
        <v>301</v>
      </c>
    </row>
    <row r="89" spans="1:4" ht="20.5" customHeight="1" x14ac:dyDescent="0.35">
      <c r="A89" s="14">
        <v>508</v>
      </c>
      <c r="B89" s="15" t="s">
        <v>334</v>
      </c>
      <c r="C89" s="14" t="s">
        <v>244</v>
      </c>
      <c r="D89" s="16" t="s">
        <v>301</v>
      </c>
    </row>
    <row r="90" spans="1:4" ht="20.5" customHeight="1" x14ac:dyDescent="0.35">
      <c r="A90" s="14">
        <v>509</v>
      </c>
      <c r="B90" s="15" t="s">
        <v>335</v>
      </c>
      <c r="C90" s="14" t="s">
        <v>244</v>
      </c>
      <c r="D90" s="16" t="s">
        <v>301</v>
      </c>
    </row>
    <row r="91" spans="1:4" ht="20.5" customHeight="1" x14ac:dyDescent="0.35">
      <c r="A91" s="14">
        <v>510</v>
      </c>
      <c r="B91" s="15" t="s">
        <v>336</v>
      </c>
      <c r="C91" s="14" t="s">
        <v>244</v>
      </c>
      <c r="D91" s="16" t="s">
        <v>301</v>
      </c>
    </row>
    <row r="92" spans="1:4" ht="20.5" customHeight="1" x14ac:dyDescent="0.35">
      <c r="A92" s="14">
        <v>511</v>
      </c>
      <c r="B92" s="15" t="s">
        <v>337</v>
      </c>
      <c r="C92" s="14" t="s">
        <v>281</v>
      </c>
      <c r="D92" s="16" t="s">
        <v>325</v>
      </c>
    </row>
    <row r="93" spans="1:4" ht="20.5" customHeight="1" x14ac:dyDescent="0.35">
      <c r="A93" s="14">
        <v>512</v>
      </c>
      <c r="B93" s="15" t="s">
        <v>338</v>
      </c>
      <c r="C93" s="14" t="s">
        <v>281</v>
      </c>
      <c r="D93" s="16" t="s">
        <v>325</v>
      </c>
    </row>
    <row r="94" spans="1:4" ht="20.5" customHeight="1" x14ac:dyDescent="0.35">
      <c r="A94" s="14">
        <v>513</v>
      </c>
      <c r="B94" s="15" t="s">
        <v>339</v>
      </c>
      <c r="C94" s="14" t="s">
        <v>281</v>
      </c>
      <c r="D94" s="16" t="s">
        <v>301</v>
      </c>
    </row>
    <row r="95" spans="1:4" ht="20.5" customHeight="1" x14ac:dyDescent="0.35">
      <c r="A95" s="14">
        <v>514</v>
      </c>
      <c r="B95" s="15" t="s">
        <v>340</v>
      </c>
      <c r="C95" s="14" t="s">
        <v>281</v>
      </c>
      <c r="D95" s="16" t="s">
        <v>301</v>
      </c>
    </row>
    <row r="96" spans="1:4" ht="20.5" customHeight="1" x14ac:dyDescent="0.35">
      <c r="A96" s="14">
        <v>515</v>
      </c>
      <c r="B96" s="15" t="s">
        <v>341</v>
      </c>
      <c r="C96" s="14" t="s">
        <v>281</v>
      </c>
      <c r="D96" s="16" t="s">
        <v>301</v>
      </c>
    </row>
    <row r="97" spans="1:4" ht="20.5" customHeight="1" x14ac:dyDescent="0.35">
      <c r="A97" s="14">
        <v>516</v>
      </c>
      <c r="B97" s="15" t="s">
        <v>342</v>
      </c>
      <c r="C97" s="14" t="s">
        <v>300</v>
      </c>
      <c r="D97" s="16" t="s">
        <v>301</v>
      </c>
    </row>
    <row r="98" spans="1:4" ht="20.5" customHeight="1" x14ac:dyDescent="0.35">
      <c r="A98" s="14">
        <v>517</v>
      </c>
      <c r="B98" s="15" t="s">
        <v>343</v>
      </c>
      <c r="C98" s="14" t="s">
        <v>281</v>
      </c>
      <c r="D98" s="16" t="s">
        <v>301</v>
      </c>
    </row>
    <row r="99" spans="1:4" ht="20.5" customHeight="1" x14ac:dyDescent="0.35">
      <c r="A99" s="14">
        <v>518</v>
      </c>
      <c r="B99" s="15" t="s">
        <v>344</v>
      </c>
      <c r="C99" s="14" t="s">
        <v>281</v>
      </c>
      <c r="D99" s="16" t="s">
        <v>325</v>
      </c>
    </row>
    <row r="100" spans="1:4" ht="20.5" customHeight="1" x14ac:dyDescent="0.35">
      <c r="A100" s="14">
        <v>519</v>
      </c>
      <c r="B100" s="15" t="s">
        <v>345</v>
      </c>
      <c r="C100" s="14" t="s">
        <v>281</v>
      </c>
      <c r="D100" s="16" t="s">
        <v>325</v>
      </c>
    </row>
    <row r="101" spans="1:4" ht="20.5" customHeight="1" x14ac:dyDescent="0.35">
      <c r="A101" s="14">
        <v>520</v>
      </c>
      <c r="B101" s="15" t="s">
        <v>346</v>
      </c>
      <c r="C101" s="14" t="s">
        <v>281</v>
      </c>
      <c r="D101" s="16" t="s">
        <v>325</v>
      </c>
    </row>
    <row r="102" spans="1:4" ht="20.5" customHeight="1" x14ac:dyDescent="0.35">
      <c r="A102" s="14">
        <v>521</v>
      </c>
      <c r="B102" s="15" t="s">
        <v>347</v>
      </c>
      <c r="C102" s="14" t="s">
        <v>281</v>
      </c>
      <c r="D102" s="16" t="s">
        <v>325</v>
      </c>
    </row>
    <row r="103" spans="1:4" ht="20.5" customHeight="1" x14ac:dyDescent="0.35">
      <c r="A103" s="14">
        <v>522</v>
      </c>
      <c r="B103" s="15" t="s">
        <v>348</v>
      </c>
      <c r="C103" s="14" t="s">
        <v>281</v>
      </c>
      <c r="D103" s="16" t="s">
        <v>325</v>
      </c>
    </row>
    <row r="104" spans="1:4" ht="20.5" customHeight="1" x14ac:dyDescent="0.35">
      <c r="A104" s="14">
        <v>523</v>
      </c>
      <c r="B104" s="15" t="s">
        <v>349</v>
      </c>
      <c r="C104" s="14" t="s">
        <v>281</v>
      </c>
      <c r="D104" s="16" t="s">
        <v>241</v>
      </c>
    </row>
    <row r="105" spans="1:4" ht="20.5" customHeight="1" x14ac:dyDescent="0.35">
      <c r="A105" s="14">
        <v>524</v>
      </c>
      <c r="B105" s="15" t="s">
        <v>350</v>
      </c>
      <c r="C105" s="14" t="s">
        <v>281</v>
      </c>
      <c r="D105" s="16" t="s">
        <v>325</v>
      </c>
    </row>
    <row r="106" spans="1:4" ht="20.5" customHeight="1" x14ac:dyDescent="0.35">
      <c r="A106" s="14">
        <v>525</v>
      </c>
      <c r="B106" s="15" t="s">
        <v>351</v>
      </c>
      <c r="C106" s="14" t="s">
        <v>281</v>
      </c>
      <c r="D106" s="16" t="s">
        <v>325</v>
      </c>
    </row>
    <row r="107" spans="1:4" ht="20.5" customHeight="1" x14ac:dyDescent="0.35">
      <c r="A107" s="14">
        <v>526</v>
      </c>
      <c r="B107" s="15" t="s">
        <v>352</v>
      </c>
      <c r="C107" s="14" t="s">
        <v>281</v>
      </c>
      <c r="D107" s="16" t="s">
        <v>241</v>
      </c>
    </row>
    <row r="108" spans="1:4" ht="20.5" customHeight="1" x14ac:dyDescent="0.35">
      <c r="A108" s="14">
        <v>527</v>
      </c>
      <c r="B108" s="15" t="s">
        <v>353</v>
      </c>
      <c r="C108" s="14" t="s">
        <v>281</v>
      </c>
      <c r="D108" s="16" t="s">
        <v>241</v>
      </c>
    </row>
    <row r="109" spans="1:4" ht="20.5" customHeight="1" x14ac:dyDescent="0.35">
      <c r="A109" s="14">
        <v>528</v>
      </c>
      <c r="B109" s="15" t="s">
        <v>354</v>
      </c>
      <c r="C109" s="14" t="s">
        <v>281</v>
      </c>
      <c r="D109" s="16" t="s">
        <v>241</v>
      </c>
    </row>
    <row r="110" spans="1:4" ht="20.5" customHeight="1" x14ac:dyDescent="0.35">
      <c r="A110" s="14">
        <v>529</v>
      </c>
      <c r="B110" s="15" t="s">
        <v>286</v>
      </c>
      <c r="C110" s="14" t="s">
        <v>281</v>
      </c>
      <c r="D110" s="16" t="s">
        <v>241</v>
      </c>
    </row>
    <row r="111" spans="1:4" ht="20.5" customHeight="1" x14ac:dyDescent="0.35">
      <c r="A111" s="14">
        <v>530</v>
      </c>
      <c r="B111" s="15" t="s">
        <v>287</v>
      </c>
      <c r="C111" s="14" t="s">
        <v>240</v>
      </c>
      <c r="D111" s="16" t="s">
        <v>241</v>
      </c>
    </row>
    <row r="112" spans="1:4" ht="20.5" customHeight="1" x14ac:dyDescent="0.35">
      <c r="A112" s="14">
        <v>531</v>
      </c>
      <c r="B112" s="15" t="s">
        <v>355</v>
      </c>
      <c r="C112" s="14" t="s">
        <v>281</v>
      </c>
      <c r="D112" s="16" t="s">
        <v>301</v>
      </c>
    </row>
    <row r="113" spans="1:4" ht="20.5" customHeight="1" x14ac:dyDescent="0.35">
      <c r="A113" s="14">
        <v>532</v>
      </c>
      <c r="B113" s="15" t="s">
        <v>356</v>
      </c>
      <c r="C113" s="14" t="s">
        <v>281</v>
      </c>
      <c r="D113" s="16" t="s">
        <v>241</v>
      </c>
    </row>
    <row r="114" spans="1:4" ht="20.5" customHeight="1" x14ac:dyDescent="0.35">
      <c r="A114" s="14">
        <v>533</v>
      </c>
      <c r="B114" s="15" t="s">
        <v>357</v>
      </c>
      <c r="C114" s="14" t="s">
        <v>281</v>
      </c>
      <c r="D114" s="16" t="s">
        <v>241</v>
      </c>
    </row>
    <row r="115" spans="1:4" ht="20.5" customHeight="1" x14ac:dyDescent="0.35">
      <c r="A115" s="14">
        <v>534</v>
      </c>
      <c r="B115" s="15" t="s">
        <v>358</v>
      </c>
      <c r="C115" s="14" t="s">
        <v>281</v>
      </c>
      <c r="D115" s="16" t="s">
        <v>241</v>
      </c>
    </row>
    <row r="116" spans="1:4" ht="20.5" customHeight="1" x14ac:dyDescent="0.35">
      <c r="A116" s="14">
        <v>535</v>
      </c>
      <c r="B116" s="15" t="s">
        <v>359</v>
      </c>
      <c r="C116" s="14" t="s">
        <v>281</v>
      </c>
      <c r="D116" s="16" t="s">
        <v>241</v>
      </c>
    </row>
    <row r="117" spans="1:4" ht="20.5" customHeight="1" x14ac:dyDescent="0.35">
      <c r="A117" s="14">
        <v>536</v>
      </c>
      <c r="B117" s="15" t="s">
        <v>360</v>
      </c>
      <c r="C117" s="14" t="s">
        <v>281</v>
      </c>
      <c r="D117" s="16" t="s">
        <v>241</v>
      </c>
    </row>
    <row r="118" spans="1:4" ht="20.5" customHeight="1" x14ac:dyDescent="0.35">
      <c r="A118" s="14">
        <v>537</v>
      </c>
      <c r="B118" s="15" t="s">
        <v>361</v>
      </c>
      <c r="C118" s="14" t="s">
        <v>281</v>
      </c>
      <c r="D118" s="16" t="s">
        <v>325</v>
      </c>
    </row>
    <row r="119" spans="1:4" ht="20.5" customHeight="1" x14ac:dyDescent="0.35">
      <c r="A119" s="14">
        <v>538</v>
      </c>
      <c r="B119" s="15" t="s">
        <v>362</v>
      </c>
      <c r="C119" s="14" t="s">
        <v>281</v>
      </c>
      <c r="D119" s="16" t="s">
        <v>301</v>
      </c>
    </row>
    <row r="120" spans="1:4" ht="20.5" customHeight="1" x14ac:dyDescent="0.35">
      <c r="A120" s="14">
        <v>539</v>
      </c>
      <c r="B120" s="15" t="s">
        <v>363</v>
      </c>
      <c r="C120" s="14" t="s">
        <v>300</v>
      </c>
      <c r="D120" s="16" t="s">
        <v>241</v>
      </c>
    </row>
    <row r="121" spans="1:4" ht="20.5" customHeight="1" x14ac:dyDescent="0.35">
      <c r="A121" s="14">
        <v>540</v>
      </c>
      <c r="B121" s="15" t="s">
        <v>364</v>
      </c>
      <c r="C121" s="14" t="s">
        <v>300</v>
      </c>
      <c r="D121" s="16" t="s">
        <v>325</v>
      </c>
    </row>
    <row r="122" spans="1:4" ht="20.5" customHeight="1" x14ac:dyDescent="0.35">
      <c r="A122" s="14">
        <v>541</v>
      </c>
      <c r="B122" s="15" t="s">
        <v>365</v>
      </c>
      <c r="C122" s="14" t="s">
        <v>300</v>
      </c>
      <c r="D122" s="16" t="s">
        <v>301</v>
      </c>
    </row>
    <row r="123" spans="1:4" ht="20.5" customHeight="1" x14ac:dyDescent="0.35">
      <c r="A123" s="14">
        <v>542</v>
      </c>
      <c r="B123" s="15" t="s">
        <v>366</v>
      </c>
      <c r="C123" s="14" t="s">
        <v>281</v>
      </c>
      <c r="D123" s="16" t="s">
        <v>325</v>
      </c>
    </row>
    <row r="124" spans="1:4" ht="20.5" customHeight="1" x14ac:dyDescent="0.35">
      <c r="A124" s="14">
        <v>543</v>
      </c>
      <c r="B124" s="15" t="s">
        <v>367</v>
      </c>
      <c r="C124" s="14" t="s">
        <v>244</v>
      </c>
      <c r="D124" s="16" t="s">
        <v>301</v>
      </c>
    </row>
    <row r="125" spans="1:4" ht="20.5" customHeight="1" x14ac:dyDescent="0.35">
      <c r="A125" s="14">
        <v>544</v>
      </c>
      <c r="B125" s="15" t="s">
        <v>368</v>
      </c>
      <c r="C125" s="14" t="s">
        <v>300</v>
      </c>
      <c r="D125" s="16" t="s">
        <v>325</v>
      </c>
    </row>
    <row r="126" spans="1:4" ht="20.5" customHeight="1" x14ac:dyDescent="0.35">
      <c r="A126" s="14">
        <v>545</v>
      </c>
      <c r="B126" s="15" t="s">
        <v>369</v>
      </c>
      <c r="C126" s="14" t="s">
        <v>281</v>
      </c>
      <c r="D126" s="16" t="s">
        <v>325</v>
      </c>
    </row>
    <row r="127" spans="1:4" ht="20.5" customHeight="1" x14ac:dyDescent="0.35">
      <c r="A127" s="14">
        <v>546</v>
      </c>
      <c r="B127" s="15" t="s">
        <v>370</v>
      </c>
      <c r="C127" s="14" t="s">
        <v>281</v>
      </c>
      <c r="D127" s="16" t="s">
        <v>325</v>
      </c>
    </row>
    <row r="128" spans="1:4" ht="20.5" customHeight="1" x14ac:dyDescent="0.35">
      <c r="A128" s="14">
        <v>547</v>
      </c>
      <c r="B128" s="15" t="s">
        <v>371</v>
      </c>
      <c r="C128" s="14" t="s">
        <v>281</v>
      </c>
      <c r="D128" s="16" t="s">
        <v>241</v>
      </c>
    </row>
    <row r="129" spans="1:4" ht="20.5" customHeight="1" x14ac:dyDescent="0.35">
      <c r="A129" s="14">
        <v>549</v>
      </c>
      <c r="B129" s="15" t="s">
        <v>372</v>
      </c>
      <c r="C129" s="14" t="s">
        <v>281</v>
      </c>
      <c r="D129" s="16" t="s">
        <v>325</v>
      </c>
    </row>
    <row r="130" spans="1:4" ht="20.5" customHeight="1" x14ac:dyDescent="0.35">
      <c r="A130" s="14">
        <v>550</v>
      </c>
      <c r="B130" s="15" t="s">
        <v>373</v>
      </c>
      <c r="C130" s="14" t="s">
        <v>281</v>
      </c>
      <c r="D130" s="16" t="s">
        <v>325</v>
      </c>
    </row>
    <row r="131" spans="1:4" ht="20.5" customHeight="1" x14ac:dyDescent="0.35">
      <c r="A131" s="14">
        <v>551</v>
      </c>
      <c r="B131" s="15" t="s">
        <v>374</v>
      </c>
      <c r="C131" s="14" t="s">
        <v>240</v>
      </c>
      <c r="D131" s="16" t="s">
        <v>241</v>
      </c>
    </row>
    <row r="132" spans="1:4" ht="20.5" customHeight="1" x14ac:dyDescent="0.35">
      <c r="A132" s="14">
        <v>552</v>
      </c>
      <c r="B132" s="15" t="s">
        <v>375</v>
      </c>
      <c r="C132" s="14" t="s">
        <v>281</v>
      </c>
      <c r="D132" s="16" t="s">
        <v>241</v>
      </c>
    </row>
    <row r="133" spans="1:4" ht="20.5" customHeight="1" x14ac:dyDescent="0.35">
      <c r="A133" s="14">
        <v>553</v>
      </c>
      <c r="B133" s="15" t="s">
        <v>376</v>
      </c>
      <c r="C133" s="14" t="s">
        <v>281</v>
      </c>
      <c r="D133" s="16" t="s">
        <v>325</v>
      </c>
    </row>
    <row r="134" spans="1:4" ht="20.5" customHeight="1" x14ac:dyDescent="0.35">
      <c r="A134" s="14">
        <v>554</v>
      </c>
      <c r="B134" s="15" t="s">
        <v>377</v>
      </c>
      <c r="C134" s="14" t="s">
        <v>240</v>
      </c>
      <c r="D134" s="16" t="s">
        <v>241</v>
      </c>
    </row>
    <row r="135" spans="1:4" ht="20.5" customHeight="1" x14ac:dyDescent="0.35">
      <c r="A135" s="14">
        <v>555</v>
      </c>
      <c r="B135" s="15" t="s">
        <v>378</v>
      </c>
      <c r="C135" s="14" t="s">
        <v>240</v>
      </c>
      <c r="D135" s="16" t="s">
        <v>241</v>
      </c>
    </row>
    <row r="136" spans="1:4" ht="20.5" customHeight="1" x14ac:dyDescent="0.35">
      <c r="A136" s="14">
        <v>556</v>
      </c>
      <c r="B136" s="15" t="s">
        <v>379</v>
      </c>
      <c r="C136" s="14" t="s">
        <v>240</v>
      </c>
      <c r="D136" s="16" t="s">
        <v>241</v>
      </c>
    </row>
    <row r="137" spans="1:4" ht="20.5" customHeight="1" x14ac:dyDescent="0.35">
      <c r="A137" s="14">
        <v>557</v>
      </c>
      <c r="B137" s="15" t="s">
        <v>380</v>
      </c>
      <c r="C137" s="14" t="s">
        <v>240</v>
      </c>
      <c r="D137" s="16" t="s">
        <v>241</v>
      </c>
    </row>
    <row r="138" spans="1:4" ht="20.5" customHeight="1" x14ac:dyDescent="0.35">
      <c r="A138" s="14">
        <v>558</v>
      </c>
      <c r="B138" s="15" t="s">
        <v>381</v>
      </c>
      <c r="C138" s="14" t="s">
        <v>240</v>
      </c>
      <c r="D138" s="16" t="s">
        <v>241</v>
      </c>
    </row>
    <row r="139" spans="1:4" ht="20.5" customHeight="1" x14ac:dyDescent="0.35">
      <c r="A139" s="14">
        <v>559</v>
      </c>
      <c r="B139" s="15" t="s">
        <v>382</v>
      </c>
      <c r="C139" s="14" t="s">
        <v>240</v>
      </c>
      <c r="D139" s="16" t="s">
        <v>241</v>
      </c>
    </row>
    <row r="140" spans="1:4" ht="20.5" customHeight="1" x14ac:dyDescent="0.35">
      <c r="A140" s="14">
        <v>560</v>
      </c>
      <c r="B140" s="15" t="s">
        <v>383</v>
      </c>
      <c r="C140" s="14" t="s">
        <v>281</v>
      </c>
      <c r="D140" s="16" t="s">
        <v>325</v>
      </c>
    </row>
    <row r="141" spans="1:4" ht="20.5" customHeight="1" x14ac:dyDescent="0.35">
      <c r="A141" s="14">
        <v>561</v>
      </c>
      <c r="B141" s="15" t="s">
        <v>384</v>
      </c>
      <c r="C141" s="14" t="s">
        <v>240</v>
      </c>
      <c r="D141" s="16" t="s">
        <v>241</v>
      </c>
    </row>
    <row r="142" spans="1:4" ht="20.5" customHeight="1" x14ac:dyDescent="0.35">
      <c r="A142" s="14">
        <v>562</v>
      </c>
      <c r="B142" s="15" t="s">
        <v>385</v>
      </c>
      <c r="C142" s="14" t="s">
        <v>281</v>
      </c>
      <c r="D142" s="16" t="s">
        <v>325</v>
      </c>
    </row>
    <row r="143" spans="1:4" ht="20.5" customHeight="1" x14ac:dyDescent="0.35">
      <c r="A143" s="14">
        <v>563</v>
      </c>
      <c r="B143" s="15" t="s">
        <v>386</v>
      </c>
      <c r="C143" s="14" t="s">
        <v>281</v>
      </c>
      <c r="D143" s="16" t="s">
        <v>325</v>
      </c>
    </row>
    <row r="144" spans="1:4" ht="20.5" customHeight="1" x14ac:dyDescent="0.35">
      <c r="A144" s="14">
        <v>564</v>
      </c>
      <c r="B144" s="15" t="s">
        <v>387</v>
      </c>
      <c r="C144" s="14" t="s">
        <v>281</v>
      </c>
      <c r="D144" s="16" t="s">
        <v>325</v>
      </c>
    </row>
    <row r="145" spans="1:4" ht="20.5" customHeight="1" x14ac:dyDescent="0.35">
      <c r="A145" s="14">
        <v>565</v>
      </c>
      <c r="B145" s="15" t="s">
        <v>388</v>
      </c>
      <c r="C145" s="14" t="s">
        <v>281</v>
      </c>
      <c r="D145" s="16" t="s">
        <v>325</v>
      </c>
    </row>
    <row r="146" spans="1:4" ht="20.5" customHeight="1" x14ac:dyDescent="0.35">
      <c r="A146" s="14">
        <v>566</v>
      </c>
      <c r="B146" s="15" t="s">
        <v>389</v>
      </c>
      <c r="C146" s="14" t="s">
        <v>281</v>
      </c>
      <c r="D146" s="16" t="s">
        <v>325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7073-9C79-4D35-B393-A4F55AF17C3F}">
  <dimension ref="A1:A5"/>
  <sheetViews>
    <sheetView workbookViewId="0">
      <selection activeCell="F14" sqref="F14"/>
    </sheetView>
  </sheetViews>
  <sheetFormatPr baseColWidth="10" defaultRowHeight="14.5" x14ac:dyDescent="0.35"/>
  <sheetData>
    <row r="1" spans="1:1" x14ac:dyDescent="0.35">
      <c r="A1" t="s">
        <v>526</v>
      </c>
    </row>
    <row r="2" spans="1:1" x14ac:dyDescent="0.35">
      <c r="A2" t="s">
        <v>521</v>
      </c>
    </row>
    <row r="3" spans="1:1" x14ac:dyDescent="0.35">
      <c r="A3" t="s">
        <v>522</v>
      </c>
    </row>
    <row r="4" spans="1:1" x14ac:dyDescent="0.35">
      <c r="A4" t="s">
        <v>523</v>
      </c>
    </row>
    <row r="5" spans="1:1" x14ac:dyDescent="0.35">
      <c r="A5" t="s">
        <v>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Lista_lotes</vt:lpstr>
      <vt:lpstr>Lista_equipos</vt:lpstr>
      <vt:lpstr>Lista_implementos</vt:lpstr>
      <vt:lpstr>Lista_operadores</vt:lpstr>
      <vt:lpstr>Codigo_labor</vt:lpstr>
      <vt:lpstr>Unidad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Sindy Urrutia</dc:creator>
  <cp:lastModifiedBy>Sindy Urrutia</cp:lastModifiedBy>
  <dcterms:created xsi:type="dcterms:W3CDTF">2026-07-22T13:49:39Z</dcterms:created>
  <dcterms:modified xsi:type="dcterms:W3CDTF">2026-07-22T16:19:17Z</dcterms:modified>
</cp:coreProperties>
</file>